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LB\Desktop\projet\MetrologoWPF\MetrologoWPF\Templates\"/>
    </mc:Choice>
  </mc:AlternateContent>
  <xr:revisionPtr revIDLastSave="0" documentId="8_{132DF534-6383-4265-B30D-06A81A0A789B}" xr6:coauthVersionLast="47" xr6:coauthVersionMax="47" xr10:uidLastSave="{00000000-0000-0000-0000-000000000000}"/>
  <bookViews>
    <workbookView xWindow="3660" yWindow="2610" windowWidth="26685" windowHeight="14085" xr2:uid="{05031086-6F6F-4E7A-BF9B-F73FC503154F}"/>
  </bookViews>
  <sheets>
    <sheet name="ModFeuille" sheetId="1" r:id="rId1"/>
    <sheet name="Récap." sheetId="2" r:id="rId2"/>
  </sheets>
  <externalReferences>
    <externalReference r:id="rId3"/>
  </externalReferences>
  <definedNames>
    <definedName name="_10ZNDeltaF">#REF!</definedName>
    <definedName name="_10ZNPlageFReelle">#REF!</definedName>
    <definedName name="_1ZNDeltaF">#REF!</definedName>
    <definedName name="_1ZNPlageFReelle">#REF!</definedName>
    <definedName name="_2ZNDeltaF">#REF!</definedName>
    <definedName name="_2ZNPlageFReelle">#REF!</definedName>
    <definedName name="_3ZNDeltaF">#REF!</definedName>
    <definedName name="_3ZNPlageFReelle">#REF!</definedName>
    <definedName name="_4ZNDeltaF">#REF!</definedName>
    <definedName name="_4ZNPlageFReelle">#REF!</definedName>
    <definedName name="_5ZNDeltaF">#REF!</definedName>
    <definedName name="_5ZNPlageFReelle">#REF!</definedName>
    <definedName name="_6ZNDeltaF">#REF!</definedName>
    <definedName name="_6ZNPlageFReelle">#REF!</definedName>
    <definedName name="_7ZNDeltaF">#REF!</definedName>
    <definedName name="_7ZNPlageFReelle">#REF!</definedName>
    <definedName name="_8ZNDeltaF">#REF!</definedName>
    <definedName name="_8ZNPlageFReelle">#REF!</definedName>
    <definedName name="_9ZNDeltaF">#REF!</definedName>
    <definedName name="_9ZNPlageFReelle">#REF!</definedName>
    <definedName name="_F_Avant_IntervZNDeltaF">#REF!</definedName>
    <definedName name="_F_Avant_IntervZNPlageFReelle">#REF!</definedName>
    <definedName name="_F_FinaleZNDeltaF">#REF!</definedName>
    <definedName name="_F_FinaleZNPlageFReelle">#REF!</definedName>
    <definedName name="ZNCoeffA">ModFeuille!$F$2</definedName>
    <definedName name="ZNCoeffADerive">#REF!</definedName>
    <definedName name="ZNCoeffB">ModFeuille!$F$3</definedName>
    <definedName name="ZNCoeffBDerive">#REF!</definedName>
    <definedName name="ZNCoeffDeriveJournaliere">#REF!</definedName>
    <definedName name="ZNCoeffMult">ModFeuille!$D$4</definedName>
    <definedName name="ZNCoeffNbMes">ModFeuille!$F$7</definedName>
    <definedName name="ZNCoeffTempsMesure">ModFeuille!$F$8</definedName>
    <definedName name="ZNCyclesDerive">#REF!</definedName>
    <definedName name="ZNDate">ModFeuille!$C$1</definedName>
    <definedName name="ZNDateRecapDerive">#REF!</definedName>
    <definedName name="ZNDateRecapFreq">'Récap.'!$D$1</definedName>
    <definedName name="ZNDateRecapStab">#REF!</definedName>
    <definedName name="ZNDeriveJournaliere">#REF!</definedName>
    <definedName name="ZNEcartType">ModFeuille!$C$17</definedName>
    <definedName name="ZNFNominale">ModFeuille!$C$5</definedName>
    <definedName name="ZNFreqCorr">ModFeuille!$C$23</definedName>
    <definedName name="ZNFreqLisseeDerive">#REF!</definedName>
    <definedName name="ZNFreqMoyReel">ModFeuille!$C$13</definedName>
    <definedName name="ZNFreqRef">ModFeuille!$C$21</definedName>
    <definedName name="ZNFrequencesMoyennesDerive">#REF!</definedName>
    <definedName name="ZNFreqUtilise">ModFeuille!$C$2</definedName>
    <definedName name="ZNGate">ModFeuille!$C$3</definedName>
    <definedName name="ZNGrandeValeur">#REF!</definedName>
    <definedName name="ZNGraphe_Datas1">#REF!</definedName>
    <definedName name="ZNGraphe_Datas2">#REF!</definedName>
    <definedName name="ZNGraphe_LibsAxeX">#REF!</definedName>
    <definedName name="ZNGraphe_LibSerie1">#REF!</definedName>
    <definedName name="ZNGraphe_LibSerie2">#REF!</definedName>
    <definedName name="ZNIncertAccreditee">ModFeuille!$C$29</definedName>
    <definedName name="ZNIncertEcartType">ModFeuille!$C$19</definedName>
    <definedName name="ZNIncertGlobale">ModFeuille!$C$31</definedName>
    <definedName name="ZNIncertGlobNONStab">ModFeuille!$F$9</definedName>
    <definedName name="ZNIncertRecapDerive">#REF!</definedName>
    <definedName name="ZNIncertResol">ModFeuille!$C$25</definedName>
    <definedName name="ZNIncertSup">ModFeuille!$C$27</definedName>
    <definedName name="ZNInfosFinales">#REF!</definedName>
    <definedName name="ZNLibGate">ModFeuille!$D$3</definedName>
    <definedName name="ZNMaxFreqDerive">#REF!</definedName>
    <definedName name="ZNMesure1">ModFeuille!$9:$9</definedName>
    <definedName name="ZNMesure2">ModFeuille!$10:$10</definedName>
    <definedName name="ZNMinFreqDerive">#REF!</definedName>
    <definedName name="ZNModeMesure">ModFeuille!$C$4</definedName>
    <definedName name="ZNNbMesAccredite">ModFeuille!$F$5</definedName>
    <definedName name="ZNNbMesures">ModFeuille!$A$5</definedName>
    <definedName name="ZNNoFiche">ModFeuille!$B$1</definedName>
    <definedName name="ZNNoFicheRecapDerive">#REF!</definedName>
    <definedName name="ZNNoFicheRecapFreq">'Récap.'!$B$1</definedName>
    <definedName name="ZNNoFicheRecapStab">#REF!</definedName>
    <definedName name="ZNPetiteValeur">#REF!</definedName>
    <definedName name="ZNPointInsertion">ModFeuille!$A$11</definedName>
    <definedName name="ZNRecapD_DebZone">#REF!</definedName>
    <definedName name="ZNRecapD_Ligne0">#REF!</definedName>
    <definedName name="ZNRecapD_NbMesCycle">#REF!</definedName>
    <definedName name="ZNRecapD_TpsCycle">#REF!</definedName>
    <definedName name="ZNRecapD_TpsMes">#REF!</definedName>
    <definedName name="ZNRecapF_DebZone">'Récap.'!$A$19</definedName>
    <definedName name="ZNRecapF_Ligne0">'Récap.'!$6:$6</definedName>
    <definedName name="ZNRecapF_NbMes">'Récap.'!$D$3</definedName>
    <definedName name="ZNRecapS_DebZone">#REF!</definedName>
    <definedName name="ZNRecapS_Ligne0">#REF!</definedName>
    <definedName name="ZNRubidium">ModFeuille!$B$3</definedName>
    <definedName name="ZNTempsMesureAccredite">ModFeuille!$F$6</definedName>
    <definedName name="ZNTypeMesure">ModFeuille!$A$2</definedName>
    <definedName name="ZNValFNominale">ModFeuille!$D$5</definedName>
    <definedName name="ZNValGateSecondes">ModFeuille!$F$4</definedName>
    <definedName name="ZNVariance">ModFeuille!$C$15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2" l="1"/>
  <c r="F18" i="2"/>
  <c r="B18" i="2"/>
  <c r="G17" i="2"/>
  <c r="F17" i="2"/>
  <c r="B17" i="2"/>
  <c r="G16" i="2"/>
  <c r="F16" i="2"/>
  <c r="B16" i="2"/>
  <c r="G15" i="2"/>
  <c r="F15" i="2"/>
  <c r="B15" i="2"/>
  <c r="G14" i="2"/>
  <c r="F14" i="2"/>
  <c r="B14" i="2"/>
  <c r="G13" i="2"/>
  <c r="F13" i="2"/>
  <c r="B13" i="2"/>
  <c r="G12" i="2"/>
  <c r="F12" i="2"/>
  <c r="B12" i="2"/>
  <c r="G11" i="2"/>
  <c r="F11" i="2"/>
  <c r="B11" i="2"/>
  <c r="G10" i="2"/>
  <c r="F10" i="2"/>
  <c r="B10" i="2"/>
  <c r="G9" i="2"/>
  <c r="F9" i="2"/>
  <c r="B9" i="2"/>
  <c r="G8" i="2"/>
  <c r="F8" i="2"/>
  <c r="B8" i="2"/>
  <c r="G7" i="2"/>
  <c r="F7" i="2"/>
  <c r="B7" i="2"/>
  <c r="F9" i="1"/>
  <c r="C31" i="1" s="1"/>
  <c r="C10" i="1"/>
  <c r="C9" i="1"/>
  <c r="C29" i="1"/>
  <c r="J6" i="2"/>
  <c r="F8" i="1"/>
  <c r="F7" i="1"/>
  <c r="C19" i="1"/>
  <c r="C17" i="1"/>
  <c r="C23" i="1"/>
  <c r="A15" i="2"/>
  <c r="A13" i="2"/>
  <c r="A12" i="2"/>
  <c r="A17" i="2"/>
  <c r="A8" i="2"/>
  <c r="A7" i="2"/>
  <c r="A9" i="2"/>
  <c r="A18" i="2"/>
  <c r="A10" i="2"/>
  <c r="A11" i="2"/>
  <c r="A16" i="2"/>
  <c r="A14" i="2"/>
  <c r="D10" i="1" l="1"/>
  <c r="I9" i="2"/>
  <c r="I10" i="2"/>
  <c r="I14" i="2"/>
  <c r="I11" i="2"/>
  <c r="I18" i="2"/>
  <c r="I8" i="2"/>
  <c r="H17" i="2"/>
  <c r="H18" i="2"/>
  <c r="H14" i="2"/>
  <c r="H7" i="2"/>
  <c r="H10" i="2"/>
  <c r="H13" i="2"/>
  <c r="H12" i="2"/>
  <c r="H9" i="2"/>
  <c r="H15" i="2"/>
  <c r="H8" i="2"/>
  <c r="H11" i="2"/>
  <c r="H16" i="2"/>
  <c r="D8" i="2"/>
  <c r="D12" i="2"/>
  <c r="D13" i="2"/>
  <c r="D7" i="2"/>
  <c r="D11" i="2"/>
  <c r="D16" i="2"/>
  <c r="D9" i="2"/>
  <c r="D14" i="2"/>
  <c r="D17" i="2"/>
  <c r="D15" i="2"/>
  <c r="C8" i="2"/>
  <c r="J8" i="2" s="1"/>
  <c r="C7" i="2"/>
  <c r="J7" i="2" s="1"/>
  <c r="C9" i="2"/>
  <c r="J9" i="2" s="1"/>
  <c r="C12" i="2"/>
  <c r="J12" i="2" s="1"/>
  <c r="C14" i="2"/>
  <c r="J14" i="2" s="1"/>
  <c r="C11" i="2"/>
  <c r="J11" i="2" s="1"/>
  <c r="C16" i="2"/>
  <c r="J16" i="2" s="1"/>
  <c r="D10" i="2"/>
  <c r="I7" i="2"/>
  <c r="I15" i="2"/>
  <c r="C10" i="2"/>
  <c r="J10" i="2" s="1"/>
  <c r="I16" i="2"/>
  <c r="I13" i="2"/>
  <c r="D18" i="2"/>
  <c r="I12" i="2"/>
  <c r="C18" i="2"/>
  <c r="J18" i="2" s="1"/>
  <c r="C15" i="2"/>
  <c r="J15" i="2" s="1"/>
  <c r="C13" i="2"/>
  <c r="J13" i="2" s="1"/>
  <c r="C17" i="2"/>
  <c r="J17" i="2" s="1"/>
  <c r="I17" i="2"/>
</calcChain>
</file>

<file path=xl/sharedStrings.xml><?xml version="1.0" encoding="utf-8"?>
<sst xmlns="http://schemas.openxmlformats.org/spreadsheetml/2006/main" count="44" uniqueCount="40">
  <si>
    <t>HEURE</t>
  </si>
  <si>
    <t>Fréq. Mesurée (Hz)</t>
  </si>
  <si>
    <t>Fréq. Réelle (Hz)</t>
  </si>
  <si>
    <t>F(i) - F(i+1)</t>
  </si>
  <si>
    <t>Ecart type =</t>
  </si>
  <si>
    <t>Incert. écart type =</t>
  </si>
  <si>
    <t>Incert. sup. =</t>
  </si>
  <si>
    <t>Incert. accréditée =</t>
  </si>
  <si>
    <t>Fréquence nominale (Hz)</t>
  </si>
  <si>
    <t>Temps de mesure</t>
  </si>
  <si>
    <t>Fréquence corrigée (Hz)</t>
  </si>
  <si>
    <t>Ecart type associé</t>
  </si>
  <si>
    <t>Fréq. Indiquée</t>
  </si>
  <si>
    <t>Incert. sup.</t>
  </si>
  <si>
    <t>Incert. globale (Hz)</t>
  </si>
  <si>
    <t>Fréquence finale (Hz)</t>
  </si>
  <si>
    <t>Fiche n° :</t>
  </si>
  <si>
    <t>Rubidium :</t>
  </si>
  <si>
    <t>Valeur fréq. réf.(Hz) =</t>
  </si>
  <si>
    <t>Valeur fréq. Corrigée (Hz) =</t>
  </si>
  <si>
    <t>Incert. de résolution (Hz) =</t>
  </si>
  <si>
    <t>Incert. Globale (Hz) =</t>
  </si>
  <si>
    <t>Fréq. Moy. Réel. (Hz) =</t>
  </si>
  <si>
    <t>Mesures</t>
  </si>
  <si>
    <t xml:space="preserve">Variance = </t>
  </si>
  <si>
    <t>Nombre de mesures :</t>
  </si>
  <si>
    <t>Incert. de résolution (Hz)</t>
  </si>
  <si>
    <t>Incert. accréditée</t>
  </si>
  <si>
    <t xml:space="preserve">CoeffA = </t>
  </si>
  <si>
    <t xml:space="preserve">CoeffB = </t>
  </si>
  <si>
    <t xml:space="preserve">Tps Porte en s = </t>
  </si>
  <si>
    <t xml:space="preserve">Nb mesures accrédité = </t>
  </si>
  <si>
    <t xml:space="preserve">Temps mesure accrédité = </t>
  </si>
  <si>
    <t xml:space="preserve">Coeff. Nb mesures = </t>
  </si>
  <si>
    <t xml:space="preserve">Coeff. Temps mesure = </t>
  </si>
  <si>
    <t xml:space="preserve">Incert. Glob. (NON Stab) = </t>
  </si>
  <si>
    <t>F6_03994</t>
  </si>
  <si>
    <t>Le 31/03/2026</t>
  </si>
  <si>
    <t>Géné.</t>
  </si>
  <si>
    <t xml:space="preserve">Module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</si>
</sst>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#,###,###,##0.0######"/>
    <numFmt numFmtId="165" formatCode="0.000\ 000\ 000"/>
    <numFmt numFmtId="166" formatCode="0.0000E+00"/>
    <numFmt numFmtId="167" formatCode="##\ ###\ ###\ ##0.##"/>
    <numFmt numFmtId="168" formatCode="[$-F400]h:mm:ss\ AM/PM"/>
    <numFmt numFmtId="169" formatCode="#,##0.0000000"/>
    <numFmt numFmtId="170" formatCode="#,##0.000000000"/>
    <numFmt numFmtId="171" formatCode="0.000000000"/>
    <numFmt numFmtId="172" formatCode="#,##0.0"/>
    <numFmt numFmtId="173" formatCode="[=0]&quot;&quot;;#,##0.000000000"/>
  </numFmts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167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1" fontId="1" fillId="0" borderId="0" xfId="0" applyNumberFormat="1" applyFont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1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169" fontId="1" fillId="0" borderId="0" xfId="0" applyNumberFormat="1" applyFont="1" applyAlignment="1">
      <alignment horizontal="center"/>
    </xf>
    <xf numFmtId="170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17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170" fontId="1" fillId="0" borderId="0" xfId="0" applyNumberFormat="1" applyFont="1" applyAlignment="1">
      <alignment horizontal="center" vertical="center" wrapText="1"/>
    </xf>
    <xf numFmtId="172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right" vertical="center" wrapText="1"/>
    </xf>
    <xf numFmtId="165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171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173" fontId="1" fillId="0" borderId="0" xfId="0" applyNumberFormat="1" applyFont="1" applyAlignment="1">
      <alignment horizontal="center" vertical="center" wrapText="1"/>
    </xf>
    <xf numFmtId="172" fontId="1" fillId="0" borderId="0" xfId="0" quotePrefix="1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Exe_Spe/Fct_VBA/Metrologo.xla" TargetMode="External"/><Relationship Id="rId1" Type="http://schemas.openxmlformats.org/officeDocument/2006/relationships/externalLinkPath" Target="/Exe_Spe/Fct_VBA/Metrologo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euil1"/>
      <sheetName val="Feuil2"/>
      <sheetName val="Feuil3"/>
      <sheetName val="Metrologo"/>
    </sheetNames>
    <definedNames>
      <definedName name="Cal_ecart_type"/>
      <definedName name="Cal_freq_corrigee"/>
      <definedName name="Cal_incert_ecart_type"/>
      <definedName name="Cal_incert_global"/>
    </defined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12DF9-E018-409C-98EF-8EE6989ECA7A}">
  <sheetPr codeName="ModeleMesure"/>
  <dimension ref="A1:F31"/>
  <sheetViews>
    <sheetView tabSelected="1" workbookViewId="0">
      <selection activeCell="E11" sqref="E11"/>
    </sheetView>
  </sheetViews>
  <sheetFormatPr baseColWidth="10" defaultRowHeight="12.75" x14ac:dyDescent="0.2"/>
  <cols>
    <col min="1" max="1" width="11.7109375" style="1" customWidth="1"/>
    <col min="2" max="3" width="25.7109375" style="3" customWidth="1"/>
    <col min="4" max="4" width="17.7109375" style="4" customWidth="1"/>
    <col min="5" max="5" width="27.42578125" style="36" customWidth="1"/>
    <col min="6" max="6" width="23" style="26" customWidth="1"/>
    <col min="7" max="16384" width="11.42578125" style="1"/>
  </cols>
  <sheetData>
    <row r="1" spans="1:6" x14ac:dyDescent="0.2">
      <c r="A1" s="15" t="s">
        <v>16</v>
      </c>
      <c r="B1" s="2"/>
      <c r="C1" s="1"/>
    </row>
    <row r="2" spans="1:6" x14ac:dyDescent="0.2">
      <c r="A2" s="2"/>
      <c r="C2" s="22"/>
      <c r="E2" s="36" t="s">
        <v>28</v>
      </c>
    </row>
    <row r="3" spans="1:6" x14ac:dyDescent="0.2">
      <c r="A3" s="2" t="s">
        <v>17</v>
      </c>
      <c r="B3" s="22"/>
      <c r="C3" s="40"/>
      <c r="D3" s="41"/>
      <c r="E3" s="36" t="s">
        <v>29</v>
      </c>
    </row>
    <row r="4" spans="1:6" x14ac:dyDescent="0.2">
      <c r="C4" s="27"/>
      <c r="D4" s="28"/>
      <c r="E4" s="37" t="s">
        <v>30</v>
      </c>
    </row>
    <row r="5" spans="1:6" x14ac:dyDescent="0.2">
      <c r="A5" s="28"/>
      <c r="B5" s="22" t="s">
        <v>23</v>
      </c>
      <c r="C5" s="27"/>
      <c r="D5" s="29"/>
      <c r="E5" s="38" t="s">
        <v>31</v>
      </c>
    </row>
    <row r="6" spans="1:6" x14ac:dyDescent="0.2">
      <c r="E6" s="36" t="s">
        <v>32</v>
      </c>
    </row>
    <row r="7" spans="1:6" x14ac:dyDescent="0.2">
      <c r="A7" s="16" t="s">
        <v>0</v>
      </c>
      <c r="B7" s="17" t="s">
        <v>1</v>
      </c>
      <c r="C7" s="17" t="s">
        <v>2</v>
      </c>
      <c r="D7" s="18" t="s">
        <v>3</v>
      </c>
      <c r="E7" s="36" t="s">
        <v>33</v>
      </c>
      <c r="F7" s="26">
        <f>IF(ISBLANK(ZNNbMesures),,SQRT(ZNNbMesures/ZNNbMesAccredite))</f>
        <v>0</v>
      </c>
    </row>
    <row r="8" spans="1:6" x14ac:dyDescent="0.2">
      <c r="E8" s="36" t="s">
        <v>34</v>
      </c>
      <c r="F8" s="26">
        <f>IF(ISBLANK(ZNValGateSecondes),,ZNTempsMesureAccredite/ZNValGateSecondes)</f>
        <v>0</v>
      </c>
    </row>
    <row r="9" spans="1:6" x14ac:dyDescent="0.2">
      <c r="A9" s="19"/>
      <c r="B9" s="21"/>
      <c r="C9" s="21">
        <f>IF(ISBLANK(ZNCoeffMult),B9,(((B9-10000000)/(POWER(10,ZNCoeffMult)*10000000))+1)*ZNValFNominale)</f>
        <v>0</v>
      </c>
      <c r="E9" s="39" t="s">
        <v>35</v>
      </c>
      <c r="F9" s="26">
        <f>IF(ISBLANK(ZNIncertSup),,([1]!Cal_incert_global(ZNIncertAccreditee,ZNCoeffNbMes,ZNCoeffTempsMesure,ZNVariance,ZNIncertResol/ZNFreqMoyReel,ZNIncertSup)*ZNFreqMoyReel))</f>
        <v>0</v>
      </c>
    </row>
    <row r="10" spans="1:6" x14ac:dyDescent="0.2">
      <c r="A10" s="19"/>
      <c r="B10" s="21"/>
      <c r="C10" s="21">
        <f>IF(ISBLANK(ZNCoeffMult),B10,(((B10-10000000)/(POWER(10,ZNCoeffMult)*10000000))+1)*ZNValFNominale)</f>
        <v>0</v>
      </c>
      <c r="D10" s="26">
        <f>C9-C10</f>
        <v>0</v>
      </c>
      <c r="E10" s="36" t="s">
        <v>39</v>
      </c>
    </row>
    <row r="13" spans="1:6" x14ac:dyDescent="0.2">
      <c r="B13" s="3" t="s">
        <v>22</v>
      </c>
      <c r="C13" s="21"/>
    </row>
    <row r="15" spans="1:6" x14ac:dyDescent="0.2">
      <c r="B15" s="3" t="s">
        <v>24</v>
      </c>
      <c r="C15" s="5"/>
    </row>
    <row r="17" spans="2:3" x14ac:dyDescent="0.2">
      <c r="B17" s="3" t="s">
        <v>4</v>
      </c>
      <c r="C17" s="5">
        <f>IF(ISBLANK(ZNVariance),,[1]!Cal_ecart_type(ZNVariance))</f>
        <v>0</v>
      </c>
    </row>
    <row r="19" spans="2:3" x14ac:dyDescent="0.2">
      <c r="B19" s="3" t="s">
        <v>5</v>
      </c>
      <c r="C19" s="5">
        <f>IF(ISBLANK(ZNNbMesures),,[1]!Cal_incert_ecart_type(ZNVariance,ZNNbMesures))</f>
        <v>0</v>
      </c>
    </row>
    <row r="21" spans="2:3" x14ac:dyDescent="0.2">
      <c r="B21" s="3" t="s">
        <v>18</v>
      </c>
      <c r="C21" s="20"/>
    </row>
    <row r="23" spans="2:3" x14ac:dyDescent="0.2">
      <c r="B23" s="3" t="s">
        <v>19</v>
      </c>
      <c r="C23" s="20">
        <f>IF(ISBLANK(ZNFreqMoyReel),,[1]!Cal_freq_corrigee(ZNFreqMoyReel,ZNFreqRef))</f>
        <v>0</v>
      </c>
    </row>
    <row r="25" spans="2:3" x14ac:dyDescent="0.2">
      <c r="B25" s="3" t="s">
        <v>20</v>
      </c>
      <c r="C25" s="6"/>
    </row>
    <row r="27" spans="2:3" x14ac:dyDescent="0.2">
      <c r="B27" s="3" t="s">
        <v>6</v>
      </c>
      <c r="C27" s="6"/>
    </row>
    <row r="29" spans="2:3" x14ac:dyDescent="0.2">
      <c r="B29" s="3" t="s">
        <v>7</v>
      </c>
      <c r="C29" s="6">
        <f>IF(ISBLANK(ZNCoeffB),,(IF(ISBLANK(ZNFreqMoyReel),,ZNCoeffB/ZNFreqMoyReel+ZNCoeffA)))</f>
        <v>0</v>
      </c>
    </row>
    <row r="31" spans="2:3" x14ac:dyDescent="0.2">
      <c r="B31" s="3" t="s">
        <v>21</v>
      </c>
      <c r="C31" s="6">
        <f>IF(A2="Stabilité",SQRT(POWER(ZNIncertAccreditee,2)+POWER(ZNIncertEcartType,2)),ZNIncertGlobNONStab)</f>
        <v>0</v>
      </c>
    </row>
  </sheetData>
  <phoneticPr fontId="3" type="noConversion"/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>
    <oddHeader>&amp;L&amp;Z&amp;F - &amp;A</oddHeader>
    <oddFooter>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4FC2B-89E7-4FD1-88B6-61F837779151}">
  <sheetPr codeName="RecapFreq">
    <pageSetUpPr fitToPage="1"/>
  </sheetPr>
  <dimension ref="A1:J19"/>
  <sheetViews>
    <sheetView workbookViewId="0">
      <selection sqref="A1:A1048576"/>
    </sheetView>
  </sheetViews>
  <sheetFormatPr baseColWidth="10" defaultColWidth="0" defaultRowHeight="12.75" x14ac:dyDescent="0.2"/>
  <cols>
    <col min="1" max="1" width="15.7109375" style="8" customWidth="1"/>
    <col min="2" max="2" width="9.7109375" style="7" customWidth="1"/>
    <col min="3" max="3" width="20.7109375" style="9" customWidth="1"/>
    <col min="4" max="4" width="9.7109375" style="10" customWidth="1"/>
    <col min="5" max="5" width="18.7109375" style="9" customWidth="1"/>
    <col min="6" max="7" width="9.7109375" style="10" customWidth="1"/>
    <col min="8" max="8" width="10.85546875" style="10" customWidth="1"/>
    <col min="9" max="9" width="9.7109375" style="10" customWidth="1"/>
    <col min="10" max="10" width="23.7109375" style="9" customWidth="1"/>
    <col min="11" max="12" width="11.42578125" style="7" customWidth="1"/>
    <col min="13" max="16384" width="0" style="7" hidden="1"/>
  </cols>
  <sheetData>
    <row r="1" spans="1:10" x14ac:dyDescent="0.2">
      <c r="A1" s="15" t="s">
        <v>16</v>
      </c>
      <c r="B1" s="23" t="s">
        <v>36</v>
      </c>
      <c r="D1" s="25" t="s">
        <v>37</v>
      </c>
    </row>
    <row r="2" spans="1:10" x14ac:dyDescent="0.2">
      <c r="A2" s="24"/>
    </row>
    <row r="3" spans="1:10" x14ac:dyDescent="0.2">
      <c r="C3" s="35" t="s">
        <v>25</v>
      </c>
      <c r="D3" s="30">
        <v>30</v>
      </c>
    </row>
    <row r="5" spans="1:10" s="12" customFormat="1" ht="39.950000000000003" customHeight="1" x14ac:dyDescent="0.2">
      <c r="A5" s="11" t="s">
        <v>8</v>
      </c>
      <c r="B5" s="12" t="s">
        <v>9</v>
      </c>
      <c r="C5" s="13" t="s">
        <v>10</v>
      </c>
      <c r="D5" s="14" t="s">
        <v>11</v>
      </c>
      <c r="E5" s="13" t="s">
        <v>12</v>
      </c>
      <c r="F5" s="14" t="s">
        <v>26</v>
      </c>
      <c r="G5" s="14" t="s">
        <v>13</v>
      </c>
      <c r="H5" s="14" t="s">
        <v>27</v>
      </c>
      <c r="I5" s="14" t="s">
        <v>14</v>
      </c>
      <c r="J5" s="13" t="s">
        <v>15</v>
      </c>
    </row>
    <row r="6" spans="1:10" x14ac:dyDescent="0.2">
      <c r="A6" s="30"/>
      <c r="C6" s="33"/>
      <c r="E6" s="34"/>
      <c r="J6" s="42">
        <f t="shared" ref="J6:J11" si="0">IF(ISNUMBER(E6), (E6/C6)*A6,C6)</f>
        <v>0</v>
      </c>
    </row>
    <row r="7" spans="1:10" x14ac:dyDescent="0.2">
      <c r="A7" s="30">
        <f>[0]!ZNFreqMoyReel</f>
        <v>0</v>
      </c>
      <c r="B7" s="7">
        <f>[0]!ZNLibGate</f>
        <v>0</v>
      </c>
      <c r="C7" s="33">
        <f>[0]!ZNFreqCorr</f>
        <v>0</v>
      </c>
      <c r="D7" s="10">
        <f>[0]!ZNEcartType</f>
        <v>0</v>
      </c>
      <c r="E7" s="43" t="s">
        <v>38</v>
      </c>
      <c r="F7" s="10">
        <f>[0]!ZNIncertResol</f>
        <v>0</v>
      </c>
      <c r="G7" s="10">
        <f>[0]!ZNIncertSup</f>
        <v>0</v>
      </c>
      <c r="H7" s="10">
        <f>[0]!ZNIncertAccreditee</f>
        <v>0</v>
      </c>
      <c r="I7" s="10">
        <f>[0]!ZNIncertGlobale</f>
        <v>0</v>
      </c>
      <c r="J7" s="42">
        <f t="shared" si="0"/>
        <v>0</v>
      </c>
    </row>
    <row r="8" spans="1:10" x14ac:dyDescent="0.2">
      <c r="A8" s="30">
        <f>[0]!ZNFreqMoyReel</f>
        <v>0</v>
      </c>
      <c r="B8" s="7">
        <f>[0]!ZNLibGate</f>
        <v>0</v>
      </c>
      <c r="C8" s="33">
        <f>[0]!ZNFreqCorr</f>
        <v>0</v>
      </c>
      <c r="D8" s="10">
        <f>[0]!ZNEcartType</f>
        <v>0</v>
      </c>
      <c r="E8" s="43" t="s">
        <v>38</v>
      </c>
      <c r="F8" s="10">
        <f>[0]!ZNIncertResol</f>
        <v>0</v>
      </c>
      <c r="G8" s="10">
        <f>[0]!ZNIncertSup</f>
        <v>0</v>
      </c>
      <c r="H8" s="10">
        <f>[0]!ZNIncertAccreditee</f>
        <v>0</v>
      </c>
      <c r="I8" s="10">
        <f>[0]!ZNIncertGlobale</f>
        <v>0</v>
      </c>
      <c r="J8" s="42">
        <f t="shared" si="0"/>
        <v>0</v>
      </c>
    </row>
    <row r="9" spans="1:10" x14ac:dyDescent="0.2">
      <c r="A9" s="30">
        <f>[0]!ZNFreqMoyReel</f>
        <v>0</v>
      </c>
      <c r="B9" s="7">
        <f>[0]!ZNLibGate</f>
        <v>0</v>
      </c>
      <c r="C9" s="33">
        <f>[0]!ZNFreqCorr</f>
        <v>0</v>
      </c>
      <c r="D9" s="10">
        <f>[0]!ZNEcartType</f>
        <v>0</v>
      </c>
      <c r="E9" s="43" t="s">
        <v>38</v>
      </c>
      <c r="F9" s="10">
        <f>[0]!ZNIncertResol</f>
        <v>0</v>
      </c>
      <c r="G9" s="10">
        <f>[0]!ZNIncertSup</f>
        <v>0</v>
      </c>
      <c r="H9" s="10">
        <f>[0]!ZNIncertAccreditee</f>
        <v>0</v>
      </c>
      <c r="I9" s="10">
        <f>[0]!ZNIncertGlobale</f>
        <v>0</v>
      </c>
      <c r="J9" s="42">
        <f t="shared" si="0"/>
        <v>0</v>
      </c>
    </row>
    <row r="10" spans="1:10" x14ac:dyDescent="0.2">
      <c r="A10" s="30">
        <f>[0]!ZNFreqMoyReel</f>
        <v>0</v>
      </c>
      <c r="B10" s="7">
        <f>[0]!ZNLibGate</f>
        <v>0</v>
      </c>
      <c r="C10" s="33">
        <f>[0]!ZNFreqCorr</f>
        <v>0</v>
      </c>
      <c r="D10" s="10">
        <f>[0]!ZNEcartType</f>
        <v>0</v>
      </c>
      <c r="E10" s="34">
        <v>1000000.254</v>
      </c>
      <c r="F10" s="10">
        <f>[0]!ZNIncertResol</f>
        <v>0</v>
      </c>
      <c r="G10" s="10">
        <f>[0]!ZNIncertSup</f>
        <v>0</v>
      </c>
      <c r="H10" s="10">
        <f>[0]!ZNIncertAccreditee</f>
        <v>0</v>
      </c>
      <c r="I10" s="10">
        <f>[0]!ZNIncertGlobale</f>
        <v>0</v>
      </c>
      <c r="J10" s="42" t="e">
        <f t="shared" si="0"/>
        <v>#DIV/0!</v>
      </c>
    </row>
    <row r="11" spans="1:10" x14ac:dyDescent="0.2">
      <c r="A11" s="30">
        <f>[0]!ZNFreqMoyReel</f>
        <v>0</v>
      </c>
      <c r="B11" s="7">
        <f>[0]!ZNLibGate</f>
        <v>0</v>
      </c>
      <c r="C11" s="33">
        <f>[0]!ZNFreqCorr</f>
        <v>0</v>
      </c>
      <c r="D11" s="10">
        <f>[0]!ZNEcartType</f>
        <v>0</v>
      </c>
      <c r="E11" s="34">
        <v>10000002.440978499</v>
      </c>
      <c r="F11" s="10">
        <f>[0]!ZNIncertResol</f>
        <v>0</v>
      </c>
      <c r="G11" s="10">
        <f>[0]!ZNIncertSup</f>
        <v>0</v>
      </c>
      <c r="H11" s="10">
        <f>[0]!ZNIncertAccreditee</f>
        <v>0</v>
      </c>
      <c r="I11" s="10">
        <f>[0]!ZNIncertGlobale</f>
        <v>0</v>
      </c>
      <c r="J11" s="42" t="e">
        <f t="shared" si="0"/>
        <v>#DIV/0!</v>
      </c>
    </row>
    <row r="12" spans="1:10" x14ac:dyDescent="0.2">
      <c r="A12" s="30">
        <f>[0]!ZNFreqMoyReel</f>
        <v>0</v>
      </c>
      <c r="B12" s="7">
        <f>[0]!ZNLibGate</f>
        <v>0</v>
      </c>
      <c r="C12" s="33">
        <f>[0]!ZNFreqCorr</f>
        <v>0</v>
      </c>
      <c r="D12" s="10">
        <f>[0]!ZNEcartType</f>
        <v>0</v>
      </c>
      <c r="E12" s="34">
        <v>1000000.0833233</v>
      </c>
      <c r="F12" s="10">
        <f>[0]!ZNIncertResol</f>
        <v>0</v>
      </c>
      <c r="G12" s="10">
        <f>[0]!ZNIncertSup</f>
        <v>0</v>
      </c>
      <c r="H12" s="10">
        <f>[0]!ZNIncertAccreditee</f>
        <v>0</v>
      </c>
      <c r="I12" s="10">
        <f>[0]!ZNIncertGlobale</f>
        <v>0</v>
      </c>
      <c r="J12" s="42" t="e">
        <f t="shared" ref="J12:J18" si="1">IF(ISNUMBER(E12), (E12/C12)*A12,C12)</f>
        <v>#DIV/0!</v>
      </c>
    </row>
    <row r="13" spans="1:10" x14ac:dyDescent="0.2">
      <c r="A13" s="30">
        <f>[0]!ZNFreqMoyReel</f>
        <v>0</v>
      </c>
      <c r="B13" s="7">
        <f>[0]!ZNLibGate</f>
        <v>0</v>
      </c>
      <c r="C13" s="33">
        <f>[0]!ZNFreqCorr</f>
        <v>0</v>
      </c>
      <c r="D13" s="10">
        <f>[0]!ZNEcartType</f>
        <v>0</v>
      </c>
      <c r="E13" s="34">
        <v>10000000.839547001</v>
      </c>
      <c r="F13" s="10">
        <f>[0]!ZNIncertResol</f>
        <v>0</v>
      </c>
      <c r="G13" s="10">
        <f>[0]!ZNIncertSup</f>
        <v>0</v>
      </c>
      <c r="H13" s="10">
        <f>[0]!ZNIncertAccreditee</f>
        <v>0</v>
      </c>
      <c r="I13" s="10">
        <f>[0]!ZNIncertGlobale</f>
        <v>0</v>
      </c>
      <c r="J13" s="42" t="e">
        <f t="shared" si="1"/>
        <v>#DIV/0!</v>
      </c>
    </row>
    <row r="14" spans="1:10" x14ac:dyDescent="0.2">
      <c r="A14" s="30">
        <f>[0]!ZNFreqMoyReel</f>
        <v>0</v>
      </c>
      <c r="B14" s="7">
        <f>[0]!ZNLibGate</f>
        <v>0</v>
      </c>
      <c r="C14" s="33">
        <f>[0]!ZNFreqCorr</f>
        <v>0</v>
      </c>
      <c r="D14" s="10">
        <f>[0]!ZNEcartType</f>
        <v>0</v>
      </c>
      <c r="E14" s="34">
        <v>1000000.0815765</v>
      </c>
      <c r="F14" s="10">
        <f>[0]!ZNIncertResol</f>
        <v>0</v>
      </c>
      <c r="G14" s="10">
        <f>[0]!ZNIncertSup</f>
        <v>0</v>
      </c>
      <c r="H14" s="10">
        <f>[0]!ZNIncertAccreditee</f>
        <v>0</v>
      </c>
      <c r="I14" s="10">
        <f>[0]!ZNIncertGlobale</f>
        <v>0</v>
      </c>
      <c r="J14" s="42" t="e">
        <f t="shared" si="1"/>
        <v>#DIV/0!</v>
      </c>
    </row>
    <row r="15" spans="1:10" x14ac:dyDescent="0.2">
      <c r="A15" s="30">
        <f>[0]!ZNFreqMoyReel</f>
        <v>0</v>
      </c>
      <c r="B15" s="7">
        <f>[0]!ZNLibGate</f>
        <v>0</v>
      </c>
      <c r="C15" s="33">
        <f>[0]!ZNFreqCorr</f>
        <v>0</v>
      </c>
      <c r="D15" s="10">
        <f>[0]!ZNEcartType</f>
        <v>0</v>
      </c>
      <c r="E15" s="34">
        <v>10000000.811380999</v>
      </c>
      <c r="F15" s="10">
        <f>[0]!ZNIncertResol</f>
        <v>0</v>
      </c>
      <c r="G15" s="10">
        <f>[0]!ZNIncertSup</f>
        <v>0</v>
      </c>
      <c r="H15" s="10">
        <f>[0]!ZNIncertAccreditee</f>
        <v>0</v>
      </c>
      <c r="I15" s="10">
        <f>[0]!ZNIncertGlobale</f>
        <v>0</v>
      </c>
      <c r="J15" s="42" t="e">
        <f t="shared" si="1"/>
        <v>#DIV/0!</v>
      </c>
    </row>
    <row r="16" spans="1:10" x14ac:dyDescent="0.2">
      <c r="A16" s="30">
        <f>[0]!ZNFreqMoyReel</f>
        <v>0</v>
      </c>
      <c r="B16" s="7">
        <f>[0]!ZNLibGate</f>
        <v>0</v>
      </c>
      <c r="C16" s="33">
        <f>[0]!ZNFreqCorr</f>
        <v>0</v>
      </c>
      <c r="D16" s="10">
        <f>[0]!ZNEcartType</f>
        <v>0</v>
      </c>
      <c r="E16" s="34">
        <v>1000000.0756551001</v>
      </c>
      <c r="F16" s="10">
        <f>[0]!ZNIncertResol</f>
        <v>0</v>
      </c>
      <c r="G16" s="10">
        <f>[0]!ZNIncertSup</f>
        <v>0</v>
      </c>
      <c r="H16" s="10">
        <f>[0]!ZNIncertAccreditee</f>
        <v>0</v>
      </c>
      <c r="I16" s="10">
        <f>[0]!ZNIncertGlobale</f>
        <v>0</v>
      </c>
      <c r="J16" s="42" t="e">
        <f t="shared" si="1"/>
        <v>#DIV/0!</v>
      </c>
    </row>
    <row r="17" spans="1:10" x14ac:dyDescent="0.2">
      <c r="A17" s="30">
        <f>[0]!ZNFreqMoyReel</f>
        <v>0</v>
      </c>
      <c r="B17" s="7">
        <f>[0]!ZNLibGate</f>
        <v>0</v>
      </c>
      <c r="C17" s="33">
        <f>[0]!ZNFreqCorr</f>
        <v>0</v>
      </c>
      <c r="D17" s="10">
        <f>[0]!ZNEcartType</f>
        <v>0</v>
      </c>
      <c r="E17" s="34">
        <v>10000000.814805999</v>
      </c>
      <c r="F17" s="10">
        <f>[0]!ZNIncertResol</f>
        <v>0</v>
      </c>
      <c r="G17" s="10">
        <f>[0]!ZNIncertSup</f>
        <v>0</v>
      </c>
      <c r="H17" s="10">
        <f>[0]!ZNIncertAccreditee</f>
        <v>0</v>
      </c>
      <c r="I17" s="10">
        <f>[0]!ZNIncertGlobale</f>
        <v>0</v>
      </c>
      <c r="J17" s="42" t="e">
        <f t="shared" si="1"/>
        <v>#DIV/0!</v>
      </c>
    </row>
    <row r="18" spans="1:10" x14ac:dyDescent="0.2">
      <c r="A18" s="30">
        <f>[0]!ZNFreqMoyReel</f>
        <v>0</v>
      </c>
      <c r="B18" s="7">
        <f>[0]!ZNLibGate</f>
        <v>0</v>
      </c>
      <c r="C18" s="33">
        <f>[0]!ZNFreqCorr</f>
        <v>0</v>
      </c>
      <c r="D18" s="10">
        <f>[0]!ZNEcartType</f>
        <v>0</v>
      </c>
      <c r="E18" s="43" t="s">
        <v>38</v>
      </c>
      <c r="F18" s="10">
        <f>[0]!ZNIncertResol</f>
        <v>0</v>
      </c>
      <c r="G18" s="10">
        <f>[0]!ZNIncertSup</f>
        <v>0</v>
      </c>
      <c r="H18" s="10">
        <f>[0]!ZNIncertAccreditee</f>
        <v>0</v>
      </c>
      <c r="I18" s="10">
        <f>[0]!ZNIncertGlobale</f>
        <v>0</v>
      </c>
      <c r="J18" s="42">
        <f t="shared" si="1"/>
        <v>0</v>
      </c>
    </row>
    <row r="19" spans="1:10" x14ac:dyDescent="0.2">
      <c r="A19" s="31"/>
      <c r="B19" s="32"/>
      <c r="C19" s="33"/>
      <c r="E19" s="34"/>
      <c r="J19" s="33"/>
    </row>
  </sheetData>
  <phoneticPr fontId="3" type="noConversion"/>
  <pageMargins left="0.78740157499999996" right="0.78740157499999996" top="0.984251969" bottom="0.984251969" header="0.4921259845" footer="0.4921259845"/>
  <pageSetup paperSize="9" scale="95" orientation="landscape" r:id="rId1"/>
  <headerFooter alignWithMargins="0">
    <oddHeader>&amp;L&amp;Z&amp;F - &amp;A</oddHeader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38</vt:i4>
      </vt:variant>
    </vt:vector>
  </HeadingPairs>
  <TitlesOfParts>
    <vt:vector size="40" baseType="lpstr">
      <vt:lpstr>ModFeuille</vt:lpstr>
      <vt:lpstr>Récap.</vt:lpstr>
      <vt:lpstr>ZNCoeffA</vt:lpstr>
      <vt:lpstr>ZNCoeffB</vt:lpstr>
      <vt:lpstr>ZNCoeffMult</vt:lpstr>
      <vt:lpstr>ZNCoeffNbMes</vt:lpstr>
      <vt:lpstr>ZNCoeffTempsMesure</vt:lpstr>
      <vt:lpstr>ZNDate</vt:lpstr>
      <vt:lpstr>ZNDateRecapFreq</vt:lpstr>
      <vt:lpstr>ZNEcartType</vt:lpstr>
      <vt:lpstr>ZNFNominale</vt:lpstr>
      <vt:lpstr>ZNFreqCorr</vt:lpstr>
      <vt:lpstr>ZNFreqMoyReel</vt:lpstr>
      <vt:lpstr>ZNFreqRef</vt:lpstr>
      <vt:lpstr>ZNFreqUtilise</vt:lpstr>
      <vt:lpstr>ZNGate</vt:lpstr>
      <vt:lpstr>ZNIncertAccreditee</vt:lpstr>
      <vt:lpstr>ZNIncertEcartType</vt:lpstr>
      <vt:lpstr>ZNIncertGlobale</vt:lpstr>
      <vt:lpstr>ZNIncertGlobNONStab</vt:lpstr>
      <vt:lpstr>ZNIncertResol</vt:lpstr>
      <vt:lpstr>ZNIncertSup</vt:lpstr>
      <vt:lpstr>ZNLibGate</vt:lpstr>
      <vt:lpstr>ZNMesure1</vt:lpstr>
      <vt:lpstr>ZNMesure2</vt:lpstr>
      <vt:lpstr>ZNModeMesure</vt:lpstr>
      <vt:lpstr>ZNNbMesAccredite</vt:lpstr>
      <vt:lpstr>ZNNbMesures</vt:lpstr>
      <vt:lpstr>ZNNoFiche</vt:lpstr>
      <vt:lpstr>ZNNoFicheRecapFreq</vt:lpstr>
      <vt:lpstr>ZNPointInsertion</vt:lpstr>
      <vt:lpstr>ZNRecapF_DebZone</vt:lpstr>
      <vt:lpstr>ZNRecapF_Ligne0</vt:lpstr>
      <vt:lpstr>ZNRecapF_NbMes</vt:lpstr>
      <vt:lpstr>ZNRubidium</vt:lpstr>
      <vt:lpstr>ZNTempsMesureAccredite</vt:lpstr>
      <vt:lpstr>ZNTypeMesure</vt:lpstr>
      <vt:lpstr>ZNValFNominale</vt:lpstr>
      <vt:lpstr>ZNValGateSecondes</vt:lpstr>
      <vt:lpstr>ZNVariance</vt:lpstr>
    </vt:vector>
  </TitlesOfParts>
  <Company>E2M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G</dc:creator>
  <cp:lastModifiedBy>THE G</cp:lastModifiedBy>
  <cp:lastPrinted>2026-04-07T05:32:49Z</cp:lastPrinted>
  <dcterms:created xsi:type="dcterms:W3CDTF">2008-04-01T05:57:58Z</dcterms:created>
  <dcterms:modified xsi:type="dcterms:W3CDTF">2026-06-02T12:01:53Z</dcterms:modified>
</cp:coreProperties>
</file>