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LB\Desktop\projet\MetrologoWPF\MetrologoWPF\Templates\"/>
    </mc:Choice>
  </mc:AlternateContent>
  <xr:revisionPtr revIDLastSave="0" documentId="8_{429E0FFD-05DB-4799-9679-8306AE11D3AF}" xr6:coauthVersionLast="47" xr6:coauthVersionMax="47" xr10:uidLastSave="{00000000-0000-0000-0000-000000000000}"/>
  <bookViews>
    <workbookView xWindow="3660" yWindow="2610" windowWidth="26685" windowHeight="14085" xr2:uid="{D1D9BBED-3FAA-45D1-B7F4-2DAF72948188}"/>
  </bookViews>
  <sheets>
    <sheet name="ModFeuille" sheetId="1" r:id="rId1"/>
    <sheet name="Récap." sheetId="3" r:id="rId2"/>
    <sheet name="10" sheetId="15" r:id="rId3"/>
    <sheet name="9" sheetId="14" r:id="rId4"/>
    <sheet name="8" sheetId="13" r:id="rId5"/>
    <sheet name="7" sheetId="12" r:id="rId6"/>
    <sheet name="6" sheetId="11" r:id="rId7"/>
    <sheet name="5" sheetId="10" r:id="rId8"/>
    <sheet name="4" sheetId="9" r:id="rId9"/>
    <sheet name="3" sheetId="8" r:id="rId10"/>
    <sheet name="2" sheetId="7" r:id="rId11"/>
    <sheet name="1" sheetId="6" r:id="rId12"/>
  </sheets>
  <externalReferences>
    <externalReference r:id="rId13"/>
  </externalReferences>
  <definedNames>
    <definedName name="_10ZNDeltaF">'10'!$D$10:$D$38</definedName>
    <definedName name="_10ZNPlageFReelle">'10'!$C$9:$C$38</definedName>
    <definedName name="_1ZNDeltaF">'1'!$D$10:$D$38</definedName>
    <definedName name="_1ZNPlageFReelle">'1'!$C$9:$C$38</definedName>
    <definedName name="_2ZNDeltaF">'2'!$D$10:$D$38</definedName>
    <definedName name="_2ZNPlageFReelle">'2'!$C$9:$C$38</definedName>
    <definedName name="_3ZNDeltaF">'3'!$D$10:$D$38</definedName>
    <definedName name="_3ZNPlageFReelle">'3'!$C$9:$C$38</definedName>
    <definedName name="_4ZNDeltaF">'4'!$D$10:$D$38</definedName>
    <definedName name="_4ZNPlageFReelle">'4'!$C$9:$C$38</definedName>
    <definedName name="_5ZNDeltaF">'5'!$D$10:$D$38</definedName>
    <definedName name="_5ZNPlageFReelle">'5'!$C$9:$C$38</definedName>
    <definedName name="_6ZNDeltaF">'6'!$D$10:$D$38</definedName>
    <definedName name="_6ZNPlageFReelle">'6'!$C$9:$C$38</definedName>
    <definedName name="_7ZNDeltaF">'7'!$D$10:$D$38</definedName>
    <definedName name="_7ZNPlageFReelle">'7'!$C$9:$C$38</definedName>
    <definedName name="_8ZNDeltaF">'8'!$D$10:$D$38</definedName>
    <definedName name="_8ZNPlageFReelle">'8'!$C$9:$C$38</definedName>
    <definedName name="_9ZNDeltaF">'9'!$D$10:$D$38</definedName>
    <definedName name="_9ZNPlageFReelle">'9'!$C$9:$C$38</definedName>
    <definedName name="ZNCoeffA" localSheetId="11">'1'!$F$2</definedName>
    <definedName name="ZNCoeffA" localSheetId="2">'10'!$F$2</definedName>
    <definedName name="ZNCoeffA" localSheetId="10">'2'!$F$2</definedName>
    <definedName name="ZNCoeffA" localSheetId="9">'3'!$F$2</definedName>
    <definedName name="ZNCoeffA" localSheetId="8">'4'!$F$2</definedName>
    <definedName name="ZNCoeffA" localSheetId="7">'5'!$F$2</definedName>
    <definedName name="ZNCoeffA" localSheetId="6">'6'!$F$2</definedName>
    <definedName name="ZNCoeffA" localSheetId="5">'7'!$F$2</definedName>
    <definedName name="ZNCoeffA" localSheetId="4">'8'!$F$2</definedName>
    <definedName name="ZNCoeffA" localSheetId="3">'9'!$F$2</definedName>
    <definedName name="ZNCoeffA">ModFeuille!$F$2</definedName>
    <definedName name="ZNCoeffADerive">#REF!</definedName>
    <definedName name="ZNCoeffB" localSheetId="11">'1'!$F$3</definedName>
    <definedName name="ZNCoeffB" localSheetId="2">'10'!$F$3</definedName>
    <definedName name="ZNCoeffB" localSheetId="10">'2'!$F$3</definedName>
    <definedName name="ZNCoeffB" localSheetId="9">'3'!$F$3</definedName>
    <definedName name="ZNCoeffB" localSheetId="8">'4'!$F$3</definedName>
    <definedName name="ZNCoeffB" localSheetId="7">'5'!$F$3</definedName>
    <definedName name="ZNCoeffB" localSheetId="6">'6'!$F$3</definedName>
    <definedName name="ZNCoeffB" localSheetId="5">'7'!$F$3</definedName>
    <definedName name="ZNCoeffB" localSheetId="4">'8'!$F$3</definedName>
    <definedName name="ZNCoeffB" localSheetId="3">'9'!$F$3</definedName>
    <definedName name="ZNCoeffB">ModFeuille!$F$3</definedName>
    <definedName name="ZNCoeffBDerive">#REF!</definedName>
    <definedName name="ZNCoeffDeriveJournaliere">#REF!</definedName>
    <definedName name="ZNCoeffMult" localSheetId="11">'1'!$D$4</definedName>
    <definedName name="ZNCoeffMult" localSheetId="2">'10'!$D$4</definedName>
    <definedName name="ZNCoeffMult" localSheetId="10">'2'!$D$4</definedName>
    <definedName name="ZNCoeffMult" localSheetId="9">'3'!$D$4</definedName>
    <definedName name="ZNCoeffMult" localSheetId="8">'4'!$D$4</definedName>
    <definedName name="ZNCoeffMult" localSheetId="7">'5'!$D$4</definedName>
    <definedName name="ZNCoeffMult" localSheetId="6">'6'!$D$4</definedName>
    <definedName name="ZNCoeffMult" localSheetId="5">'7'!$D$4</definedName>
    <definedName name="ZNCoeffMult" localSheetId="4">'8'!$D$4</definedName>
    <definedName name="ZNCoeffMult" localSheetId="3">'9'!$D$4</definedName>
    <definedName name="ZNCoeffMult">ModFeuille!$D$4</definedName>
    <definedName name="ZNCoeffNbMes" localSheetId="11">'1'!$F$7</definedName>
    <definedName name="ZNCoeffNbMes" localSheetId="2">'10'!$F$7</definedName>
    <definedName name="ZNCoeffNbMes" localSheetId="10">'2'!$F$7</definedName>
    <definedName name="ZNCoeffNbMes" localSheetId="9">'3'!$F$7</definedName>
    <definedName name="ZNCoeffNbMes" localSheetId="8">'4'!$F$7</definedName>
    <definedName name="ZNCoeffNbMes" localSheetId="7">'5'!$F$7</definedName>
    <definedName name="ZNCoeffNbMes" localSheetId="6">'6'!$F$7</definedName>
    <definedName name="ZNCoeffNbMes" localSheetId="5">'7'!$F$7</definedName>
    <definedName name="ZNCoeffNbMes" localSheetId="4">'8'!$F$7</definedName>
    <definedName name="ZNCoeffNbMes" localSheetId="3">'9'!$F$7</definedName>
    <definedName name="ZNCoeffNbMes">ModFeuille!$F$7</definedName>
    <definedName name="ZNCoeffTempsMesure" localSheetId="11">'1'!$F$8</definedName>
    <definedName name="ZNCoeffTempsMesure" localSheetId="2">'10'!$F$8</definedName>
    <definedName name="ZNCoeffTempsMesure" localSheetId="10">'2'!$F$8</definedName>
    <definedName name="ZNCoeffTempsMesure" localSheetId="9">'3'!$F$8</definedName>
    <definedName name="ZNCoeffTempsMesure" localSheetId="8">'4'!$F$8</definedName>
    <definedName name="ZNCoeffTempsMesure" localSheetId="7">'5'!$F$8</definedName>
    <definedName name="ZNCoeffTempsMesure" localSheetId="6">'6'!$F$8</definedName>
    <definedName name="ZNCoeffTempsMesure" localSheetId="5">'7'!$F$8</definedName>
    <definedName name="ZNCoeffTempsMesure" localSheetId="4">'8'!$F$8</definedName>
    <definedName name="ZNCoeffTempsMesure" localSheetId="3">'9'!$F$8</definedName>
    <definedName name="ZNCoeffTempsMesure">ModFeuille!$F$8</definedName>
    <definedName name="ZNCyclesDerive">#REF!</definedName>
    <definedName name="ZNDate" localSheetId="11">'1'!$C$1</definedName>
    <definedName name="ZNDate" localSheetId="2">'10'!$C$1</definedName>
    <definedName name="ZNDate" localSheetId="10">'2'!$C$1</definedName>
    <definedName name="ZNDate" localSheetId="9">'3'!$C$1</definedName>
    <definedName name="ZNDate" localSheetId="8">'4'!$C$1</definedName>
    <definedName name="ZNDate" localSheetId="7">'5'!$C$1</definedName>
    <definedName name="ZNDate" localSheetId="6">'6'!$C$1</definedName>
    <definedName name="ZNDate" localSheetId="5">'7'!$C$1</definedName>
    <definedName name="ZNDate" localSheetId="4">'8'!$C$1</definedName>
    <definedName name="ZNDate" localSheetId="3">'9'!$C$1</definedName>
    <definedName name="ZNDate">ModFeuille!$C$1</definedName>
    <definedName name="ZNDateRecapDerive">#REF!</definedName>
    <definedName name="ZNDateRecapFreq">#REF!</definedName>
    <definedName name="ZNDateRecapStab">'Récap.'!$D$1</definedName>
    <definedName name="ZNDeriveJournaliere">#REF!</definedName>
    <definedName name="ZNEcartType" localSheetId="11">'1'!$C$45</definedName>
    <definedName name="ZNEcartType" localSheetId="2">'10'!$C$45</definedName>
    <definedName name="ZNEcartType" localSheetId="10">'2'!$C$45</definedName>
    <definedName name="ZNEcartType" localSheetId="9">'3'!$C$45</definedName>
    <definedName name="ZNEcartType" localSheetId="8">'4'!$C$45</definedName>
    <definedName name="ZNEcartType" localSheetId="7">'5'!$C$45</definedName>
    <definedName name="ZNEcartType" localSheetId="6">'6'!$C$45</definedName>
    <definedName name="ZNEcartType" localSheetId="5">'7'!$C$45</definedName>
    <definedName name="ZNEcartType" localSheetId="4">'8'!$C$45</definedName>
    <definedName name="ZNEcartType" localSheetId="3">'9'!$C$45</definedName>
    <definedName name="ZNEcartType">ModFeuille!$C$17</definedName>
    <definedName name="ZNFNominale" localSheetId="11">'1'!$C$5</definedName>
    <definedName name="ZNFNominale" localSheetId="2">'10'!$C$5</definedName>
    <definedName name="ZNFNominale" localSheetId="10">'2'!$C$5</definedName>
    <definedName name="ZNFNominale" localSheetId="9">'3'!$C$5</definedName>
    <definedName name="ZNFNominale" localSheetId="8">'4'!$C$5</definedName>
    <definedName name="ZNFNominale" localSheetId="7">'5'!$C$5</definedName>
    <definedName name="ZNFNominale" localSheetId="6">'6'!$C$5</definedName>
    <definedName name="ZNFNominale" localSheetId="5">'7'!$C$5</definedName>
    <definedName name="ZNFNominale" localSheetId="4">'8'!$C$5</definedName>
    <definedName name="ZNFNominale" localSheetId="3">'9'!$C$5</definedName>
    <definedName name="ZNFNominale">ModFeuille!$C$5</definedName>
    <definedName name="ZNFreqCorr" localSheetId="11">'1'!$C$51</definedName>
    <definedName name="ZNFreqCorr" localSheetId="2">'10'!$C$51</definedName>
    <definedName name="ZNFreqCorr" localSheetId="10">'2'!$C$51</definedName>
    <definedName name="ZNFreqCorr" localSheetId="9">'3'!$C$51</definedName>
    <definedName name="ZNFreqCorr" localSheetId="8">'4'!$C$51</definedName>
    <definedName name="ZNFreqCorr" localSheetId="7">'5'!$C$51</definedName>
    <definedName name="ZNFreqCorr" localSheetId="6">'6'!$C$51</definedName>
    <definedName name="ZNFreqCorr" localSheetId="5">'7'!$C$51</definedName>
    <definedName name="ZNFreqCorr" localSheetId="4">'8'!$C$51</definedName>
    <definedName name="ZNFreqCorr" localSheetId="3">'9'!$C$51</definedName>
    <definedName name="ZNFreqCorr">ModFeuille!$C$23</definedName>
    <definedName name="ZNFreqLisseeDerive">#REF!</definedName>
    <definedName name="ZNFreqMoyReel" localSheetId="11">'1'!$C$41</definedName>
    <definedName name="ZNFreqMoyReel" localSheetId="2">'10'!$C$41</definedName>
    <definedName name="ZNFreqMoyReel" localSheetId="10">'2'!$C$41</definedName>
    <definedName name="ZNFreqMoyReel" localSheetId="9">'3'!$C$41</definedName>
    <definedName name="ZNFreqMoyReel" localSheetId="8">'4'!$C$41</definedName>
    <definedName name="ZNFreqMoyReel" localSheetId="7">'5'!$C$41</definedName>
    <definedName name="ZNFreqMoyReel" localSheetId="6">'6'!$C$41</definedName>
    <definedName name="ZNFreqMoyReel" localSheetId="5">'7'!$C$41</definedName>
    <definedName name="ZNFreqMoyReel" localSheetId="4">'8'!$C$41</definedName>
    <definedName name="ZNFreqMoyReel" localSheetId="3">'9'!$C$41</definedName>
    <definedName name="ZNFreqMoyReel">ModFeuille!$C$13</definedName>
    <definedName name="ZNFreqRef" localSheetId="11">'1'!$C$49</definedName>
    <definedName name="ZNFreqRef" localSheetId="2">'10'!$C$49</definedName>
    <definedName name="ZNFreqRef" localSheetId="10">'2'!$C$49</definedName>
    <definedName name="ZNFreqRef" localSheetId="9">'3'!$C$49</definedName>
    <definedName name="ZNFreqRef" localSheetId="8">'4'!$C$49</definedName>
    <definedName name="ZNFreqRef" localSheetId="7">'5'!$C$49</definedName>
    <definedName name="ZNFreqRef" localSheetId="6">'6'!$C$49</definedName>
    <definedName name="ZNFreqRef" localSheetId="5">'7'!$C$49</definedName>
    <definedName name="ZNFreqRef" localSheetId="4">'8'!$C$49</definedName>
    <definedName name="ZNFreqRef" localSheetId="3">'9'!$C$49</definedName>
    <definedName name="ZNFreqRef">ModFeuille!$C$21</definedName>
    <definedName name="ZNFrequencesMoyennesDerive">#REF!</definedName>
    <definedName name="ZNFreqUtilise" localSheetId="11">'1'!$C$2</definedName>
    <definedName name="ZNFreqUtilise" localSheetId="2">'10'!$C$2</definedName>
    <definedName name="ZNFreqUtilise" localSheetId="10">'2'!$C$2</definedName>
    <definedName name="ZNFreqUtilise" localSheetId="9">'3'!$C$2</definedName>
    <definedName name="ZNFreqUtilise" localSheetId="8">'4'!$C$2</definedName>
    <definedName name="ZNFreqUtilise" localSheetId="7">'5'!$C$2</definedName>
    <definedName name="ZNFreqUtilise" localSheetId="6">'6'!$C$2</definedName>
    <definedName name="ZNFreqUtilise" localSheetId="5">'7'!$C$2</definedName>
    <definedName name="ZNFreqUtilise" localSheetId="4">'8'!$C$2</definedName>
    <definedName name="ZNFreqUtilise" localSheetId="3">'9'!$C$2</definedName>
    <definedName name="ZNFreqUtilise">ModFeuille!$C$2</definedName>
    <definedName name="ZNGate" localSheetId="11">'1'!$C$3</definedName>
    <definedName name="ZNGate" localSheetId="2">'10'!$C$3</definedName>
    <definedName name="ZNGate" localSheetId="10">'2'!$C$3</definedName>
    <definedName name="ZNGate" localSheetId="9">'3'!$C$3</definedName>
    <definedName name="ZNGate" localSheetId="8">'4'!$C$3</definedName>
    <definedName name="ZNGate" localSheetId="7">'5'!$C$3</definedName>
    <definedName name="ZNGate" localSheetId="6">'6'!$C$3</definedName>
    <definedName name="ZNGate" localSheetId="5">'7'!$C$3</definedName>
    <definedName name="ZNGate" localSheetId="4">'8'!$C$3</definedName>
    <definedName name="ZNGate" localSheetId="3">'9'!$C$3</definedName>
    <definedName name="ZNGate">ModFeuille!$C$3</definedName>
    <definedName name="ZNGrandeValeur">'Récap.'!$G$19</definedName>
    <definedName name="ZNGraphe_Datas1">#REF!</definedName>
    <definedName name="ZNGraphe_Datas2">#REF!</definedName>
    <definedName name="ZNGraphe_LibsAxeX">#REF!</definedName>
    <definedName name="ZNGraphe_LibSerie1">#REF!</definedName>
    <definedName name="ZNGraphe_LibSerie2">#REF!</definedName>
    <definedName name="ZNIncertAccreditee" localSheetId="11">'1'!$C$57</definedName>
    <definedName name="ZNIncertAccreditee" localSheetId="2">'10'!$C$57</definedName>
    <definedName name="ZNIncertAccreditee" localSheetId="10">'2'!$C$57</definedName>
    <definedName name="ZNIncertAccreditee" localSheetId="9">'3'!$C$57</definedName>
    <definedName name="ZNIncertAccreditee" localSheetId="8">'4'!$C$57</definedName>
    <definedName name="ZNIncertAccreditee" localSheetId="7">'5'!$C$57</definedName>
    <definedName name="ZNIncertAccreditee" localSheetId="6">'6'!$C$57</definedName>
    <definedName name="ZNIncertAccreditee" localSheetId="5">'7'!$C$57</definedName>
    <definedName name="ZNIncertAccreditee" localSheetId="4">'8'!$C$57</definedName>
    <definedName name="ZNIncertAccreditee" localSheetId="3">'9'!$C$57</definedName>
    <definedName name="ZNIncertAccreditee">ModFeuille!$C$29</definedName>
    <definedName name="ZNIncertEcartType" localSheetId="11">'1'!$C$47</definedName>
    <definedName name="ZNIncertEcartType" localSheetId="2">'10'!$C$47</definedName>
    <definedName name="ZNIncertEcartType" localSheetId="10">'2'!$C$47</definedName>
    <definedName name="ZNIncertEcartType" localSheetId="9">'3'!$C$47</definedName>
    <definedName name="ZNIncertEcartType" localSheetId="8">'4'!$C$47</definedName>
    <definedName name="ZNIncertEcartType" localSheetId="7">'5'!$C$47</definedName>
    <definedName name="ZNIncertEcartType" localSheetId="6">'6'!$C$47</definedName>
    <definedName name="ZNIncertEcartType" localSheetId="5">'7'!$C$47</definedName>
    <definedName name="ZNIncertEcartType" localSheetId="4">'8'!$C$47</definedName>
    <definedName name="ZNIncertEcartType" localSheetId="3">'9'!$C$47</definedName>
    <definedName name="ZNIncertEcartType">ModFeuille!$C$19</definedName>
    <definedName name="ZNIncertGlobale" localSheetId="11">'1'!$C$59</definedName>
    <definedName name="ZNIncertGlobale" localSheetId="2">'10'!$C$59</definedName>
    <definedName name="ZNIncertGlobale" localSheetId="10">'2'!$C$59</definedName>
    <definedName name="ZNIncertGlobale" localSheetId="9">'3'!$C$59</definedName>
    <definedName name="ZNIncertGlobale" localSheetId="8">'4'!$C$59</definedName>
    <definedName name="ZNIncertGlobale" localSheetId="7">'5'!$C$59</definedName>
    <definedName name="ZNIncertGlobale" localSheetId="6">'6'!$C$59</definedName>
    <definedName name="ZNIncertGlobale" localSheetId="5">'7'!$C$59</definedName>
    <definedName name="ZNIncertGlobale" localSheetId="4">'8'!$C$59</definedName>
    <definedName name="ZNIncertGlobale" localSheetId="3">'9'!$C$59</definedName>
    <definedName name="ZNIncertGlobale">ModFeuille!$C$31</definedName>
    <definedName name="ZNIncertGlobNONStab" localSheetId="11">'1'!$F$9</definedName>
    <definedName name="ZNIncertGlobNONStab" localSheetId="2">'10'!$F$9</definedName>
    <definedName name="ZNIncertGlobNONStab" localSheetId="10">'2'!$F$9</definedName>
    <definedName name="ZNIncertGlobNONStab" localSheetId="9">'3'!$F$9</definedName>
    <definedName name="ZNIncertGlobNONStab" localSheetId="8">'4'!$F$9</definedName>
    <definedName name="ZNIncertGlobNONStab" localSheetId="7">'5'!$F$9</definedName>
    <definedName name="ZNIncertGlobNONStab" localSheetId="6">'6'!$F$9</definedName>
    <definedName name="ZNIncertGlobNONStab" localSheetId="5">'7'!$F$9</definedName>
    <definedName name="ZNIncertGlobNONStab" localSheetId="4">'8'!$F$9</definedName>
    <definedName name="ZNIncertGlobNONStab" localSheetId="3">'9'!$F$9</definedName>
    <definedName name="ZNIncertGlobNONStab">ModFeuille!$F$9</definedName>
    <definedName name="ZNIncertRecapDerive">#REF!</definedName>
    <definedName name="ZNIncertResol" localSheetId="11">'1'!$C$53</definedName>
    <definedName name="ZNIncertResol" localSheetId="2">'10'!$C$53</definedName>
    <definedName name="ZNIncertResol" localSheetId="10">'2'!$C$53</definedName>
    <definedName name="ZNIncertResol" localSheetId="9">'3'!$C$53</definedName>
    <definedName name="ZNIncertResol" localSheetId="8">'4'!$C$53</definedName>
    <definedName name="ZNIncertResol" localSheetId="7">'5'!$C$53</definedName>
    <definedName name="ZNIncertResol" localSheetId="6">'6'!$C$53</definedName>
    <definedName name="ZNIncertResol" localSheetId="5">'7'!$C$53</definedName>
    <definedName name="ZNIncertResol" localSheetId="4">'8'!$C$53</definedName>
    <definedName name="ZNIncertResol" localSheetId="3">'9'!$C$53</definedName>
    <definedName name="ZNIncertResol">ModFeuille!$C$25</definedName>
    <definedName name="ZNIncertSup" localSheetId="11">'1'!$C$55</definedName>
    <definedName name="ZNIncertSup" localSheetId="2">'10'!$C$55</definedName>
    <definedName name="ZNIncertSup" localSheetId="10">'2'!$C$55</definedName>
    <definedName name="ZNIncertSup" localSheetId="9">'3'!$C$55</definedName>
    <definedName name="ZNIncertSup" localSheetId="8">'4'!$C$55</definedName>
    <definedName name="ZNIncertSup" localSheetId="7">'5'!$C$55</definedName>
    <definedName name="ZNIncertSup" localSheetId="6">'6'!$C$55</definedName>
    <definedName name="ZNIncertSup" localSheetId="5">'7'!$C$55</definedName>
    <definedName name="ZNIncertSup" localSheetId="4">'8'!$C$55</definedName>
    <definedName name="ZNIncertSup" localSheetId="3">'9'!$C$55</definedName>
    <definedName name="ZNIncertSup">ModFeuille!$C$27</definedName>
    <definedName name="ZNInfosFinales">#REF!</definedName>
    <definedName name="ZNLibGate" localSheetId="11">'1'!$D$3</definedName>
    <definedName name="ZNLibGate" localSheetId="2">'10'!$D$3</definedName>
    <definedName name="ZNLibGate" localSheetId="10">'2'!$D$3</definedName>
    <definedName name="ZNLibGate" localSheetId="9">'3'!$D$3</definedName>
    <definedName name="ZNLibGate" localSheetId="8">'4'!$D$3</definedName>
    <definedName name="ZNLibGate" localSheetId="7">'5'!$D$3</definedName>
    <definedName name="ZNLibGate" localSheetId="6">'6'!$D$3</definedName>
    <definedName name="ZNLibGate" localSheetId="5">'7'!$D$3</definedName>
    <definedName name="ZNLibGate" localSheetId="4">'8'!$D$3</definedName>
    <definedName name="ZNLibGate" localSheetId="3">'9'!$D$3</definedName>
    <definedName name="ZNLibGate">ModFeuille!$D$3</definedName>
    <definedName name="ZNMaxFreqDerive">#REF!</definedName>
    <definedName name="ZNMesure1" localSheetId="11">'1'!$9:$9</definedName>
    <definedName name="ZNMesure1" localSheetId="2">'10'!$9:$9</definedName>
    <definedName name="ZNMesure1" localSheetId="10">'2'!$9:$9</definedName>
    <definedName name="ZNMesure1" localSheetId="9">'3'!$9:$9</definedName>
    <definedName name="ZNMesure1" localSheetId="8">'4'!$9:$9</definedName>
    <definedName name="ZNMesure1" localSheetId="7">'5'!$9:$9</definedName>
    <definedName name="ZNMesure1" localSheetId="6">'6'!$9:$9</definedName>
    <definedName name="ZNMesure1" localSheetId="5">'7'!$9:$9</definedName>
    <definedName name="ZNMesure1" localSheetId="4">'8'!$9:$9</definedName>
    <definedName name="ZNMesure1" localSheetId="3">'9'!$9:$9</definedName>
    <definedName name="ZNMesure1">ModFeuille!$9:$9</definedName>
    <definedName name="ZNMesure2" localSheetId="11">'1'!$10:$10</definedName>
    <definedName name="ZNMesure2" localSheetId="2">'10'!$10:$10</definedName>
    <definedName name="ZNMesure2" localSheetId="10">'2'!$10:$10</definedName>
    <definedName name="ZNMesure2" localSheetId="9">'3'!$10:$10</definedName>
    <definedName name="ZNMesure2" localSheetId="8">'4'!$10:$10</definedName>
    <definedName name="ZNMesure2" localSheetId="7">'5'!$10:$10</definedName>
    <definedName name="ZNMesure2" localSheetId="6">'6'!$10:$10</definedName>
    <definedName name="ZNMesure2" localSheetId="5">'7'!$10:$10</definedName>
    <definedName name="ZNMesure2" localSheetId="4">'8'!$10:$10</definedName>
    <definedName name="ZNMesure2" localSheetId="3">'9'!$10:$10</definedName>
    <definedName name="ZNMesure2">ModFeuille!$10:$10</definedName>
    <definedName name="ZNMinFreqDerive">#REF!</definedName>
    <definedName name="ZNModeMesure" localSheetId="11">'1'!$C$4</definedName>
    <definedName name="ZNModeMesure" localSheetId="2">'10'!$C$4</definedName>
    <definedName name="ZNModeMesure" localSheetId="10">'2'!$C$4</definedName>
    <definedName name="ZNModeMesure" localSheetId="9">'3'!$C$4</definedName>
    <definedName name="ZNModeMesure" localSheetId="8">'4'!$C$4</definedName>
    <definedName name="ZNModeMesure" localSheetId="7">'5'!$C$4</definedName>
    <definedName name="ZNModeMesure" localSheetId="6">'6'!$C$4</definedName>
    <definedName name="ZNModeMesure" localSheetId="5">'7'!$C$4</definedName>
    <definedName name="ZNModeMesure" localSheetId="4">'8'!$C$4</definedName>
    <definedName name="ZNModeMesure" localSheetId="3">'9'!$C$4</definedName>
    <definedName name="ZNModeMesure">ModFeuille!$C$4</definedName>
    <definedName name="ZNNbMesAccredite" localSheetId="11">'1'!$F$5</definedName>
    <definedName name="ZNNbMesAccredite" localSheetId="2">'10'!$F$5</definedName>
    <definedName name="ZNNbMesAccredite" localSheetId="10">'2'!$F$5</definedName>
    <definedName name="ZNNbMesAccredite" localSheetId="9">'3'!$F$5</definedName>
    <definedName name="ZNNbMesAccredite" localSheetId="8">'4'!$F$5</definedName>
    <definedName name="ZNNbMesAccredite" localSheetId="7">'5'!$F$5</definedName>
    <definedName name="ZNNbMesAccredite" localSheetId="6">'6'!$F$5</definedName>
    <definedName name="ZNNbMesAccredite" localSheetId="5">'7'!$F$5</definedName>
    <definedName name="ZNNbMesAccredite" localSheetId="4">'8'!$F$5</definedName>
    <definedName name="ZNNbMesAccredite" localSheetId="3">'9'!$F$5</definedName>
    <definedName name="ZNNbMesAccredite">ModFeuille!$F$5</definedName>
    <definedName name="ZNNbMesures" localSheetId="11">'1'!$A$5</definedName>
    <definedName name="ZNNbMesures" localSheetId="2">'10'!$A$5</definedName>
    <definedName name="ZNNbMesures" localSheetId="10">'2'!$A$5</definedName>
    <definedName name="ZNNbMesures" localSheetId="9">'3'!$A$5</definedName>
    <definedName name="ZNNbMesures" localSheetId="8">'4'!$A$5</definedName>
    <definedName name="ZNNbMesures" localSheetId="7">'5'!$A$5</definedName>
    <definedName name="ZNNbMesures" localSheetId="6">'6'!$A$5</definedName>
    <definedName name="ZNNbMesures" localSheetId="5">'7'!$A$5</definedName>
    <definedName name="ZNNbMesures" localSheetId="4">'8'!$A$5</definedName>
    <definedName name="ZNNbMesures" localSheetId="3">'9'!$A$5</definedName>
    <definedName name="ZNNbMesures">ModFeuille!$A$5</definedName>
    <definedName name="ZNNoFiche" localSheetId="11">'1'!$B$1</definedName>
    <definedName name="ZNNoFiche" localSheetId="2">'10'!$B$1</definedName>
    <definedName name="ZNNoFiche" localSheetId="10">'2'!$B$1</definedName>
    <definedName name="ZNNoFiche" localSheetId="9">'3'!$B$1</definedName>
    <definedName name="ZNNoFiche" localSheetId="8">'4'!$B$1</definedName>
    <definedName name="ZNNoFiche" localSheetId="7">'5'!$B$1</definedName>
    <definedName name="ZNNoFiche" localSheetId="6">'6'!$B$1</definedName>
    <definedName name="ZNNoFiche" localSheetId="5">'7'!$B$1</definedName>
    <definedName name="ZNNoFiche" localSheetId="4">'8'!$B$1</definedName>
    <definedName name="ZNNoFiche" localSheetId="3">'9'!$B$1</definedName>
    <definedName name="ZNNoFiche">ModFeuille!$B$1</definedName>
    <definedName name="ZNNoFicheRecapDerive">#REF!</definedName>
    <definedName name="ZNNoFicheRecapFreq">#REF!</definedName>
    <definedName name="ZNNoFicheRecapStab">'Récap.'!$B$1</definedName>
    <definedName name="ZNPetiteValeur">'Récap.'!$H$19</definedName>
    <definedName name="ZNPointInsertion" localSheetId="11">'1'!$A$39</definedName>
    <definedName name="ZNPointInsertion" localSheetId="2">'10'!$A$39</definedName>
    <definedName name="ZNPointInsertion" localSheetId="10">'2'!$A$39</definedName>
    <definedName name="ZNPointInsertion" localSheetId="9">'3'!$A$39</definedName>
    <definedName name="ZNPointInsertion" localSheetId="8">'4'!$A$39</definedName>
    <definedName name="ZNPointInsertion" localSheetId="7">'5'!$A$39</definedName>
    <definedName name="ZNPointInsertion" localSheetId="6">'6'!$A$39</definedName>
    <definedName name="ZNPointInsertion" localSheetId="5">'7'!$A$39</definedName>
    <definedName name="ZNPointInsertion" localSheetId="4">'8'!$A$39</definedName>
    <definedName name="ZNPointInsertion" localSheetId="3">'9'!$A$39</definedName>
    <definedName name="ZNPointInsertion">ModFeuille!$A$11</definedName>
    <definedName name="ZNRecapD_DebZone">#REF!</definedName>
    <definedName name="ZNRecapD_Ligne0">#REF!</definedName>
    <definedName name="ZNRecapD_NbMesCycle">#REF!</definedName>
    <definedName name="ZNRecapD_TpsCycle">#REF!</definedName>
    <definedName name="ZNRecapD_TpsMes">#REF!</definedName>
    <definedName name="ZNRecapF_DebZone">#REF!</definedName>
    <definedName name="ZNRecapF_Ligne0">#REF!</definedName>
    <definedName name="ZNRecapF_NbMes">#REF!</definedName>
    <definedName name="ZNRecapS_DebZone">'Récap.'!$A$16</definedName>
    <definedName name="ZNRecapS_Ligne0">'Récap.'!$5:$5</definedName>
    <definedName name="ZNRubidium" localSheetId="11">'1'!$B$3</definedName>
    <definedName name="ZNRubidium" localSheetId="2">'10'!$B$3</definedName>
    <definedName name="ZNRubidium" localSheetId="10">'2'!$B$3</definedName>
    <definedName name="ZNRubidium" localSheetId="9">'3'!$B$3</definedName>
    <definedName name="ZNRubidium" localSheetId="8">'4'!$B$3</definedName>
    <definedName name="ZNRubidium" localSheetId="7">'5'!$B$3</definedName>
    <definedName name="ZNRubidium" localSheetId="6">'6'!$B$3</definedName>
    <definedName name="ZNRubidium" localSheetId="5">'7'!$B$3</definedName>
    <definedName name="ZNRubidium" localSheetId="4">'8'!$B$3</definedName>
    <definedName name="ZNRubidium" localSheetId="3">'9'!$B$3</definedName>
    <definedName name="ZNRubidium">ModFeuille!$B$3</definedName>
    <definedName name="ZNTempsMesureAccredite" localSheetId="11">'1'!$F$6</definedName>
    <definedName name="ZNTempsMesureAccredite" localSheetId="2">'10'!$F$6</definedName>
    <definedName name="ZNTempsMesureAccredite" localSheetId="10">'2'!$F$6</definedName>
    <definedName name="ZNTempsMesureAccredite" localSheetId="9">'3'!$F$6</definedName>
    <definedName name="ZNTempsMesureAccredite" localSheetId="8">'4'!$F$6</definedName>
    <definedName name="ZNTempsMesureAccredite" localSheetId="7">'5'!$F$6</definedName>
    <definedName name="ZNTempsMesureAccredite" localSheetId="6">'6'!$F$6</definedName>
    <definedName name="ZNTempsMesureAccredite" localSheetId="5">'7'!$F$6</definedName>
    <definedName name="ZNTempsMesureAccredite" localSheetId="4">'8'!$F$6</definedName>
    <definedName name="ZNTempsMesureAccredite" localSheetId="3">'9'!$F$6</definedName>
    <definedName name="ZNTempsMesureAccredite">ModFeuille!$F$6</definedName>
    <definedName name="ZNTypeMesure" localSheetId="11">'1'!$A$2</definedName>
    <definedName name="ZNTypeMesure" localSheetId="2">'10'!$A$2</definedName>
    <definedName name="ZNTypeMesure" localSheetId="10">'2'!$A$2</definedName>
    <definedName name="ZNTypeMesure" localSheetId="9">'3'!$A$2</definedName>
    <definedName name="ZNTypeMesure" localSheetId="8">'4'!$A$2</definedName>
    <definedName name="ZNTypeMesure" localSheetId="7">'5'!$A$2</definedName>
    <definedName name="ZNTypeMesure" localSheetId="6">'6'!$A$2</definedName>
    <definedName name="ZNTypeMesure" localSheetId="5">'7'!$A$2</definedName>
    <definedName name="ZNTypeMesure" localSheetId="4">'8'!$A$2</definedName>
    <definedName name="ZNTypeMesure" localSheetId="3">'9'!$A$2</definedName>
    <definedName name="ZNTypeMesure">ModFeuille!$A$2</definedName>
    <definedName name="ZNValFNominale" localSheetId="11">'1'!$D$5</definedName>
    <definedName name="ZNValFNominale" localSheetId="2">'10'!$D$5</definedName>
    <definedName name="ZNValFNominale" localSheetId="10">'2'!$D$5</definedName>
    <definedName name="ZNValFNominale" localSheetId="9">'3'!$D$5</definedName>
    <definedName name="ZNValFNominale" localSheetId="8">'4'!$D$5</definedName>
    <definedName name="ZNValFNominale" localSheetId="7">'5'!$D$5</definedName>
    <definedName name="ZNValFNominale" localSheetId="6">'6'!$D$5</definedName>
    <definedName name="ZNValFNominale" localSheetId="5">'7'!$D$5</definedName>
    <definedName name="ZNValFNominale" localSheetId="4">'8'!$D$5</definedName>
    <definedName name="ZNValFNominale" localSheetId="3">'9'!$D$5</definedName>
    <definedName name="ZNValFNominale">ModFeuille!$D$5</definedName>
    <definedName name="ZNValGateSecondes" localSheetId="11">'1'!$F$4</definedName>
    <definedName name="ZNValGateSecondes" localSheetId="2">'10'!$F$4</definedName>
    <definedName name="ZNValGateSecondes" localSheetId="10">'2'!$F$4</definedName>
    <definedName name="ZNValGateSecondes" localSheetId="9">'3'!$F$4</definedName>
    <definedName name="ZNValGateSecondes" localSheetId="8">'4'!$F$4</definedName>
    <definedName name="ZNValGateSecondes" localSheetId="7">'5'!$F$4</definedName>
    <definedName name="ZNValGateSecondes" localSheetId="6">'6'!$F$4</definedName>
    <definedName name="ZNValGateSecondes" localSheetId="5">'7'!$F$4</definedName>
    <definedName name="ZNValGateSecondes" localSheetId="4">'8'!$F$4</definedName>
    <definedName name="ZNValGateSecondes" localSheetId="3">'9'!$F$4</definedName>
    <definedName name="ZNValGateSecondes">ModFeuille!$F$4</definedName>
    <definedName name="ZNVariance" localSheetId="11">'1'!$C$43</definedName>
    <definedName name="ZNVariance" localSheetId="2">'10'!$C$43</definedName>
    <definedName name="ZNVariance" localSheetId="10">'2'!$C$43</definedName>
    <definedName name="ZNVariance" localSheetId="9">'3'!$C$43</definedName>
    <definedName name="ZNVariance" localSheetId="8">'4'!$C$43</definedName>
    <definedName name="ZNVariance" localSheetId="7">'5'!$C$43</definedName>
    <definedName name="ZNVariance" localSheetId="6">'6'!$C$43</definedName>
    <definedName name="ZNVariance" localSheetId="5">'7'!$C$43</definedName>
    <definedName name="ZNVariance" localSheetId="4">'8'!$C$43</definedName>
    <definedName name="ZNVariance" localSheetId="3">'9'!$C$43</definedName>
    <definedName name="ZNVariance">ModFeuille!$C$15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F8" i="6"/>
  <c r="C9" i="6"/>
  <c r="C10" i="6"/>
  <c r="C11" i="6"/>
  <c r="D12" i="6" s="1"/>
  <c r="C12" i="6"/>
  <c r="D13" i="6" s="1"/>
  <c r="C13" i="6"/>
  <c r="D14" i="6" s="1"/>
  <c r="C14" i="6"/>
  <c r="D15" i="6" s="1"/>
  <c r="C15" i="6"/>
  <c r="D16" i="6" s="1"/>
  <c r="C16" i="6"/>
  <c r="C17" i="6"/>
  <c r="D18" i="6" s="1"/>
  <c r="C18" i="6"/>
  <c r="C19" i="6"/>
  <c r="D19" i="6"/>
  <c r="C20" i="6"/>
  <c r="C21" i="6"/>
  <c r="D22" i="6" s="1"/>
  <c r="C22" i="6"/>
  <c r="D23" i="6" s="1"/>
  <c r="C23" i="6"/>
  <c r="C24" i="6"/>
  <c r="D24" i="6" s="1"/>
  <c r="C25" i="6"/>
  <c r="D26" i="6" s="1"/>
  <c r="C26" i="6"/>
  <c r="C27" i="6"/>
  <c r="C28" i="6"/>
  <c r="D28" i="6"/>
  <c r="C29" i="6"/>
  <c r="D30" i="6" s="1"/>
  <c r="C30" i="6"/>
  <c r="C31" i="6"/>
  <c r="D31" i="6"/>
  <c r="C32" i="6"/>
  <c r="C33" i="6"/>
  <c r="D34" i="6" s="1"/>
  <c r="C34" i="6"/>
  <c r="C35" i="6"/>
  <c r="C36" i="6"/>
  <c r="D37" i="6" s="1"/>
  <c r="D36" i="6"/>
  <c r="C37" i="6"/>
  <c r="D38" i="6" s="1"/>
  <c r="C38" i="6"/>
  <c r="C47" i="6"/>
  <c r="D6" i="3" s="1"/>
  <c r="F7" i="7"/>
  <c r="F8" i="7"/>
  <c r="C9" i="7"/>
  <c r="D10" i="7" s="1"/>
  <c r="C10" i="7"/>
  <c r="C11" i="7"/>
  <c r="D11" i="7"/>
  <c r="C12" i="7"/>
  <c r="C13" i="7"/>
  <c r="D14" i="7" s="1"/>
  <c r="C14" i="7"/>
  <c r="D15" i="7" s="1"/>
  <c r="C15" i="7"/>
  <c r="D16" i="7" s="1"/>
  <c r="C16" i="7"/>
  <c r="D17" i="7" s="1"/>
  <c r="C17" i="7"/>
  <c r="D18" i="7" s="1"/>
  <c r="C18" i="7"/>
  <c r="C19" i="7"/>
  <c r="C20" i="7"/>
  <c r="D20" i="7"/>
  <c r="C21" i="7"/>
  <c r="D22" i="7" s="1"/>
  <c r="C22" i="7"/>
  <c r="C23" i="7"/>
  <c r="D24" i="7" s="1"/>
  <c r="D23" i="7"/>
  <c r="C24" i="7"/>
  <c r="C25" i="7"/>
  <c r="D26" i="7" s="1"/>
  <c r="C26" i="7"/>
  <c r="C27" i="7"/>
  <c r="C28" i="7"/>
  <c r="D29" i="7" s="1"/>
  <c r="D28" i="7"/>
  <c r="C29" i="7"/>
  <c r="D30" i="7" s="1"/>
  <c r="C30" i="7"/>
  <c r="D31" i="7" s="1"/>
  <c r="C31" i="7"/>
  <c r="D32" i="7" s="1"/>
  <c r="C32" i="7"/>
  <c r="C33" i="7"/>
  <c r="D34" i="7" s="1"/>
  <c r="C34" i="7"/>
  <c r="C35" i="7"/>
  <c r="D35" i="7"/>
  <c r="C36" i="7"/>
  <c r="C37" i="7"/>
  <c r="D38" i="7" s="1"/>
  <c r="C38" i="7"/>
  <c r="C47" i="7"/>
  <c r="D7" i="3" s="1"/>
  <c r="F7" i="8"/>
  <c r="F8" i="8"/>
  <c r="C9" i="8"/>
  <c r="C10" i="8"/>
  <c r="C11" i="8"/>
  <c r="C12" i="8"/>
  <c r="D12" i="8" s="1"/>
  <c r="C13" i="8"/>
  <c r="D13" i="8" s="1"/>
  <c r="C14" i="8"/>
  <c r="D14" i="8" s="1"/>
  <c r="C15" i="8"/>
  <c r="D15" i="8" s="1"/>
  <c r="C16" i="8"/>
  <c r="C17" i="8"/>
  <c r="C18" i="8"/>
  <c r="C19" i="8"/>
  <c r="D19" i="8" s="1"/>
  <c r="C20" i="8"/>
  <c r="C21" i="8"/>
  <c r="D21" i="8" s="1"/>
  <c r="C22" i="8"/>
  <c r="C23" i="8"/>
  <c r="C24" i="8"/>
  <c r="C25" i="8"/>
  <c r="C26" i="8"/>
  <c r="C27" i="8"/>
  <c r="D27" i="8" s="1"/>
  <c r="C28" i="8"/>
  <c r="C29" i="8"/>
  <c r="C30" i="8"/>
  <c r="C31" i="8"/>
  <c r="C32" i="8"/>
  <c r="C33" i="8"/>
  <c r="C34" i="8"/>
  <c r="C35" i="8"/>
  <c r="C36" i="8"/>
  <c r="C37" i="8"/>
  <c r="C38" i="8"/>
  <c r="C47" i="8"/>
  <c r="D8" i="3" s="1"/>
  <c r="F7" i="9"/>
  <c r="F8" i="9"/>
  <c r="C9" i="9"/>
  <c r="D10" i="9" s="1"/>
  <c r="C10" i="9"/>
  <c r="D11" i="9" s="1"/>
  <c r="C11" i="9"/>
  <c r="D12" i="9" s="1"/>
  <c r="C12" i="9"/>
  <c r="C13" i="9"/>
  <c r="D13" i="9"/>
  <c r="C14" i="9"/>
  <c r="C15" i="9"/>
  <c r="D16" i="9" s="1"/>
  <c r="C16" i="9"/>
  <c r="C17" i="9"/>
  <c r="D18" i="9" s="1"/>
  <c r="D17" i="9"/>
  <c r="C18" i="9"/>
  <c r="C19" i="9"/>
  <c r="D20" i="9" s="1"/>
  <c r="C20" i="9"/>
  <c r="C21" i="9"/>
  <c r="C22" i="9"/>
  <c r="D23" i="9" s="1"/>
  <c r="D22" i="9"/>
  <c r="C23" i="9"/>
  <c r="D24" i="9" s="1"/>
  <c r="C24" i="9"/>
  <c r="C25" i="9"/>
  <c r="D26" i="9" s="1"/>
  <c r="D25" i="9"/>
  <c r="C26" i="9"/>
  <c r="C27" i="9"/>
  <c r="D28" i="9" s="1"/>
  <c r="C28" i="9"/>
  <c r="C29" i="9"/>
  <c r="D29" i="9"/>
  <c r="C30" i="9"/>
  <c r="D31" i="9" s="1"/>
  <c r="C31" i="9"/>
  <c r="D32" i="9" s="1"/>
  <c r="C32" i="9"/>
  <c r="D33" i="9" s="1"/>
  <c r="C33" i="9"/>
  <c r="D34" i="9" s="1"/>
  <c r="C34" i="9"/>
  <c r="D35" i="9" s="1"/>
  <c r="C35" i="9"/>
  <c r="D36" i="9" s="1"/>
  <c r="C36" i="9"/>
  <c r="C37" i="9"/>
  <c r="C38" i="9"/>
  <c r="D38" i="9"/>
  <c r="C47" i="9"/>
  <c r="D9" i="3" s="1"/>
  <c r="F7" i="10"/>
  <c r="F8" i="10"/>
  <c r="C9" i="10"/>
  <c r="C10" i="10"/>
  <c r="C11" i="10"/>
  <c r="D12" i="10" s="1"/>
  <c r="C12" i="10"/>
  <c r="C13" i="10"/>
  <c r="D13" i="10"/>
  <c r="C14" i="10"/>
  <c r="C15" i="10"/>
  <c r="D16" i="10" s="1"/>
  <c r="D15" i="10"/>
  <c r="C16" i="10"/>
  <c r="C17" i="10"/>
  <c r="D18" i="10" s="1"/>
  <c r="C18" i="10"/>
  <c r="C19" i="10"/>
  <c r="D19" i="10"/>
  <c r="C20" i="10"/>
  <c r="C21" i="10"/>
  <c r="D21" i="10"/>
  <c r="C22" i="10"/>
  <c r="D22" i="10"/>
  <c r="C23" i="10"/>
  <c r="C24" i="10"/>
  <c r="C25" i="10"/>
  <c r="C26" i="10"/>
  <c r="D27" i="10" s="1"/>
  <c r="C27" i="10"/>
  <c r="C28" i="10"/>
  <c r="C29" i="10"/>
  <c r="C30" i="10"/>
  <c r="C31" i="10"/>
  <c r="C32" i="10"/>
  <c r="C33" i="10"/>
  <c r="C34" i="10"/>
  <c r="C35" i="10"/>
  <c r="C36" i="10"/>
  <c r="C37" i="10"/>
  <c r="D38" i="10" s="1"/>
  <c r="C38" i="10"/>
  <c r="C47" i="10"/>
  <c r="D10" i="3" s="1"/>
  <c r="F7" i="11"/>
  <c r="F8" i="11"/>
  <c r="C9" i="11"/>
  <c r="C10" i="11"/>
  <c r="C11" i="11"/>
  <c r="C12" i="11"/>
  <c r="C13" i="11"/>
  <c r="D14" i="11" s="1"/>
  <c r="C14" i="11"/>
  <c r="C15" i="11"/>
  <c r="C16" i="11"/>
  <c r="C17" i="11"/>
  <c r="C18" i="11"/>
  <c r="C19" i="11"/>
  <c r="C20" i="11"/>
  <c r="C21" i="11"/>
  <c r="C22" i="11"/>
  <c r="C23" i="11"/>
  <c r="C24" i="11"/>
  <c r="C25" i="11"/>
  <c r="D26" i="11" s="1"/>
  <c r="C26" i="11"/>
  <c r="C27" i="11"/>
  <c r="C28" i="11"/>
  <c r="C29" i="11"/>
  <c r="C30" i="11"/>
  <c r="C31" i="11"/>
  <c r="C32" i="11"/>
  <c r="C33" i="11"/>
  <c r="C34" i="11"/>
  <c r="C35" i="11"/>
  <c r="C36" i="11"/>
  <c r="D37" i="11" s="1"/>
  <c r="D36" i="11"/>
  <c r="C37" i="11"/>
  <c r="C38" i="11"/>
  <c r="D38" i="11"/>
  <c r="C47" i="11"/>
  <c r="D11" i="3" s="1"/>
  <c r="F7" i="12"/>
  <c r="F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D21" i="12" s="1"/>
  <c r="C21" i="12"/>
  <c r="C22" i="12"/>
  <c r="C23" i="12"/>
  <c r="C24" i="12"/>
  <c r="C25" i="12"/>
  <c r="C26" i="12"/>
  <c r="C27" i="12"/>
  <c r="C28" i="12"/>
  <c r="C29" i="12"/>
  <c r="C30" i="12"/>
  <c r="C31" i="12"/>
  <c r="C32" i="12"/>
  <c r="D33" i="12" s="1"/>
  <c r="C33" i="12"/>
  <c r="C34" i="12"/>
  <c r="D34" i="12"/>
  <c r="C35" i="12"/>
  <c r="D35" i="12"/>
  <c r="C36" i="12"/>
  <c r="D37" i="12" s="1"/>
  <c r="C37" i="12"/>
  <c r="C38" i="12"/>
  <c r="D38" i="12"/>
  <c r="C47" i="12"/>
  <c r="D12" i="3" s="1"/>
  <c r="F7" i="13"/>
  <c r="F8" i="13"/>
  <c r="C9" i="13"/>
  <c r="C10" i="13"/>
  <c r="D10" i="13"/>
  <c r="C11" i="13"/>
  <c r="D12" i="13" s="1"/>
  <c r="C12" i="13"/>
  <c r="D13" i="13" s="1"/>
  <c r="C13" i="13"/>
  <c r="C14" i="13"/>
  <c r="D15" i="13" s="1"/>
  <c r="C15" i="13"/>
  <c r="C16" i="13"/>
  <c r="D17" i="13" s="1"/>
  <c r="C17" i="13"/>
  <c r="C18" i="13"/>
  <c r="D18" i="13"/>
  <c r="C19" i="13"/>
  <c r="D20" i="13" s="1"/>
  <c r="D19" i="13"/>
  <c r="C20" i="13"/>
  <c r="D21" i="13" s="1"/>
  <c r="C21" i="13"/>
  <c r="C22" i="13"/>
  <c r="D23" i="13" s="1"/>
  <c r="D22" i="13"/>
  <c r="C23" i="13"/>
  <c r="C24" i="13"/>
  <c r="D24" i="13" s="1"/>
  <c r="C25" i="13"/>
  <c r="D25" i="13"/>
  <c r="C26" i="13"/>
  <c r="C27" i="13"/>
  <c r="D28" i="13" s="1"/>
  <c r="C28" i="13"/>
  <c r="D29" i="13" s="1"/>
  <c r="C29" i="13"/>
  <c r="C30" i="13"/>
  <c r="D30" i="13"/>
  <c r="C31" i="13"/>
  <c r="C32" i="13"/>
  <c r="D33" i="13" s="1"/>
  <c r="C33" i="13"/>
  <c r="C34" i="13"/>
  <c r="C35" i="13"/>
  <c r="D35" i="13"/>
  <c r="C36" i="13"/>
  <c r="D37" i="13" s="1"/>
  <c r="C37" i="13"/>
  <c r="D38" i="13" s="1"/>
  <c r="C38" i="13"/>
  <c r="C47" i="13"/>
  <c r="D13" i="3" s="1"/>
  <c r="F7" i="14"/>
  <c r="F8" i="14"/>
  <c r="C9" i="14"/>
  <c r="C10" i="14"/>
  <c r="D10" i="14"/>
  <c r="C11" i="14"/>
  <c r="C12" i="14"/>
  <c r="D13" i="14" s="1"/>
  <c r="D12" i="14"/>
  <c r="C13" i="14"/>
  <c r="C14" i="14"/>
  <c r="C15" i="14"/>
  <c r="C16" i="14"/>
  <c r="D16" i="14"/>
  <c r="C17" i="14"/>
  <c r="C18" i="14"/>
  <c r="D18" i="14"/>
  <c r="C19" i="14"/>
  <c r="D19" i="14"/>
  <c r="C20" i="14"/>
  <c r="D21" i="14" s="1"/>
  <c r="C21" i="14"/>
  <c r="C22" i="14"/>
  <c r="D22" i="14"/>
  <c r="C23" i="14"/>
  <c r="C24" i="14"/>
  <c r="D24" i="14"/>
  <c r="C25" i="14"/>
  <c r="D25" i="14"/>
  <c r="C26" i="14"/>
  <c r="C27" i="14"/>
  <c r="C28" i="14"/>
  <c r="D28" i="14" s="1"/>
  <c r="C29" i="14"/>
  <c r="D29" i="14" s="1"/>
  <c r="C30" i="14"/>
  <c r="C31" i="14"/>
  <c r="C32" i="14"/>
  <c r="D32" i="14" s="1"/>
  <c r="C33" i="14"/>
  <c r="D33" i="14" s="1"/>
  <c r="C34" i="14"/>
  <c r="C35" i="14"/>
  <c r="D35" i="14" s="1"/>
  <c r="C36" i="14"/>
  <c r="C37" i="14"/>
  <c r="C38" i="14"/>
  <c r="D38" i="14" s="1"/>
  <c r="C47" i="14"/>
  <c r="D14" i="3" s="1"/>
  <c r="F7" i="15"/>
  <c r="F8" i="15"/>
  <c r="C9" i="15"/>
  <c r="C10" i="15"/>
  <c r="D10" i="15"/>
  <c r="C11" i="15"/>
  <c r="D11" i="15" s="1"/>
  <c r="C12" i="15"/>
  <c r="C13" i="15"/>
  <c r="D13" i="15" s="1"/>
  <c r="C14" i="15"/>
  <c r="C15" i="15"/>
  <c r="C16" i="15"/>
  <c r="C17" i="15"/>
  <c r="D17" i="15" s="1"/>
  <c r="C18" i="15"/>
  <c r="C19" i="15"/>
  <c r="C20" i="15"/>
  <c r="D20" i="15" s="1"/>
  <c r="C21" i="15"/>
  <c r="D21" i="15" s="1"/>
  <c r="C22" i="15"/>
  <c r="C23" i="15"/>
  <c r="C24" i="15"/>
  <c r="C25" i="15"/>
  <c r="C26" i="15"/>
  <c r="C27" i="15"/>
  <c r="C28" i="15"/>
  <c r="C29" i="15"/>
  <c r="D30" i="15" s="1"/>
  <c r="C30" i="15"/>
  <c r="C31" i="15"/>
  <c r="D32" i="15" s="1"/>
  <c r="D31" i="15"/>
  <c r="C32" i="15"/>
  <c r="C33" i="15"/>
  <c r="D34" i="15" s="1"/>
  <c r="C34" i="15"/>
  <c r="C35" i="15"/>
  <c r="C36" i="15"/>
  <c r="D37" i="15" s="1"/>
  <c r="D36" i="15"/>
  <c r="C37" i="15"/>
  <c r="D38" i="15" s="1"/>
  <c r="C38" i="15"/>
  <c r="C47" i="15"/>
  <c r="D15" i="3" s="1"/>
  <c r="G5" i="3"/>
  <c r="H5" i="3"/>
  <c r="I5" i="3"/>
  <c r="A6" i="3"/>
  <c r="A7" i="3"/>
  <c r="A8" i="3"/>
  <c r="A9" i="3"/>
  <c r="A10" i="3"/>
  <c r="A11" i="3"/>
  <c r="A12" i="3"/>
  <c r="A13" i="3"/>
  <c r="A14" i="3"/>
  <c r="A15" i="3"/>
  <c r="F7" i="1"/>
  <c r="F8" i="1"/>
  <c r="C9" i="1"/>
  <c r="F9" i="1"/>
  <c r="C31" i="1" s="1"/>
  <c r="C10" i="1"/>
  <c r="C17" i="1"/>
  <c r="C19" i="1"/>
  <c r="C23" i="1"/>
  <c r="C29" i="1"/>
  <c r="D20" i="14" l="1"/>
  <c r="D27" i="14"/>
  <c r="D26" i="10"/>
  <c r="D11" i="10"/>
  <c r="D33" i="7"/>
  <c r="D17" i="6"/>
  <c r="D26" i="12"/>
  <c r="D37" i="7"/>
  <c r="D36" i="12"/>
  <c r="D36" i="7"/>
  <c r="C41" i="10"/>
  <c r="C57" i="10" s="1"/>
  <c r="D18" i="8"/>
  <c r="D32" i="6"/>
  <c r="D11" i="13"/>
  <c r="D15" i="14"/>
  <c r="D19" i="15"/>
  <c r="D31" i="14"/>
  <c r="D23" i="14"/>
  <c r="D14" i="13"/>
  <c r="D37" i="10"/>
  <c r="D17" i="8"/>
  <c r="D21" i="7"/>
  <c r="D36" i="13"/>
  <c r="D18" i="15"/>
  <c r="D14" i="14"/>
  <c r="D17" i="10"/>
  <c r="D13" i="7"/>
  <c r="D23" i="10"/>
  <c r="D29" i="6"/>
  <c r="D30" i="9"/>
  <c r="D20" i="6"/>
  <c r="D35" i="15"/>
  <c r="C41" i="14"/>
  <c r="B14" i="3" s="1"/>
  <c r="D26" i="13"/>
  <c r="D14" i="10"/>
  <c r="D21" i="9"/>
  <c r="D19" i="7"/>
  <c r="D27" i="6"/>
  <c r="D11" i="6"/>
  <c r="D14" i="12"/>
  <c r="D15" i="9"/>
  <c r="D21" i="6"/>
  <c r="D33" i="10"/>
  <c r="D14" i="9"/>
  <c r="D14" i="15"/>
  <c r="D33" i="15"/>
  <c r="D24" i="15"/>
  <c r="D36" i="14"/>
  <c r="D26" i="14"/>
  <c r="D34" i="13"/>
  <c r="D16" i="13"/>
  <c r="D33" i="11"/>
  <c r="D21" i="11"/>
  <c r="D19" i="9"/>
  <c r="D35" i="8"/>
  <c r="D22" i="8"/>
  <c r="D27" i="7"/>
  <c r="D35" i="6"/>
  <c r="D25" i="6"/>
  <c r="C41" i="6"/>
  <c r="B6" i="3" s="1"/>
  <c r="D27" i="13"/>
  <c r="D12" i="7"/>
  <c r="C43" i="7" s="1"/>
  <c r="C45" i="7" s="1"/>
  <c r="C7" i="3" s="1"/>
  <c r="C41" i="7"/>
  <c r="D34" i="14"/>
  <c r="D17" i="14"/>
  <c r="D20" i="10"/>
  <c r="D10" i="10"/>
  <c r="D27" i="9"/>
  <c r="D20" i="8"/>
  <c r="D25" i="7"/>
  <c r="D33" i="6"/>
  <c r="C51" i="14"/>
  <c r="C57" i="14"/>
  <c r="E14" i="3" s="1"/>
  <c r="D32" i="10"/>
  <c r="D34" i="8"/>
  <c r="D30" i="11"/>
  <c r="D30" i="10"/>
  <c r="D31" i="13"/>
  <c r="D17" i="12"/>
  <c r="D29" i="11"/>
  <c r="C41" i="9"/>
  <c r="B9" i="3" s="1"/>
  <c r="D31" i="8"/>
  <c r="D11" i="14"/>
  <c r="C43" i="14" s="1"/>
  <c r="C45" i="14" s="1"/>
  <c r="C14" i="3" s="1"/>
  <c r="D28" i="12"/>
  <c r="D16" i="12"/>
  <c r="D28" i="11"/>
  <c r="D16" i="11"/>
  <c r="D32" i="11"/>
  <c r="C41" i="15"/>
  <c r="C51" i="15" s="1"/>
  <c r="D30" i="12"/>
  <c r="D32" i="8"/>
  <c r="D29" i="12"/>
  <c r="D17" i="11"/>
  <c r="D27" i="15"/>
  <c r="D16" i="15"/>
  <c r="D30" i="14"/>
  <c r="D27" i="12"/>
  <c r="D15" i="12"/>
  <c r="D27" i="11"/>
  <c r="D15" i="11"/>
  <c r="D28" i="8"/>
  <c r="D16" i="8"/>
  <c r="D32" i="12"/>
  <c r="D20" i="11"/>
  <c r="D10" i="1"/>
  <c r="D32" i="13"/>
  <c r="D19" i="12"/>
  <c r="D31" i="10"/>
  <c r="D10" i="6"/>
  <c r="C43" i="6" s="1"/>
  <c r="C45" i="6" s="1"/>
  <c r="C6" i="3" s="1"/>
  <c r="C41" i="8"/>
  <c r="B8" i="3" s="1"/>
  <c r="D31" i="12"/>
  <c r="D31" i="11"/>
  <c r="D33" i="8"/>
  <c r="D18" i="11"/>
  <c r="D13" i="12"/>
  <c r="D25" i="11"/>
  <c r="C41" i="13"/>
  <c r="C51" i="13" s="1"/>
  <c r="D24" i="12"/>
  <c r="D12" i="11"/>
  <c r="D36" i="10"/>
  <c r="D23" i="12"/>
  <c r="D11" i="12"/>
  <c r="D35" i="11"/>
  <c r="D23" i="11"/>
  <c r="D35" i="10"/>
  <c r="D20" i="12"/>
  <c r="D19" i="11"/>
  <c r="D18" i="12"/>
  <c r="D15" i="15"/>
  <c r="D25" i="12"/>
  <c r="D13" i="11"/>
  <c r="D12" i="12"/>
  <c r="D24" i="11"/>
  <c r="D38" i="8"/>
  <c r="D26" i="8"/>
  <c r="D11" i="11"/>
  <c r="D37" i="8"/>
  <c r="D12" i="15"/>
  <c r="D37" i="14"/>
  <c r="D22" i="12"/>
  <c r="D34" i="11"/>
  <c r="D22" i="11"/>
  <c r="D34" i="10"/>
  <c r="D37" i="9"/>
  <c r="C43" i="9" s="1"/>
  <c r="C45" i="9" s="1"/>
  <c r="C9" i="3" s="1"/>
  <c r="D36" i="8"/>
  <c r="D23" i="8"/>
  <c r="C57" i="7"/>
  <c r="F9" i="7"/>
  <c r="C51" i="7"/>
  <c r="B7" i="3"/>
  <c r="F9" i="8"/>
  <c r="D10" i="8"/>
  <c r="D11" i="8"/>
  <c r="D24" i="8"/>
  <c r="D25" i="8"/>
  <c r="D29" i="8"/>
  <c r="D30" i="8"/>
  <c r="D25" i="10"/>
  <c r="D24" i="10"/>
  <c r="D28" i="10"/>
  <c r="D29" i="10"/>
  <c r="C51" i="10"/>
  <c r="F9" i="10"/>
  <c r="B10" i="3"/>
  <c r="D10" i="11"/>
  <c r="C41" i="11"/>
  <c r="D10" i="12"/>
  <c r="C41" i="12"/>
  <c r="F9" i="14"/>
  <c r="C59" i="14"/>
  <c r="F14" i="3" s="1"/>
  <c r="F9" i="15"/>
  <c r="B15" i="3"/>
  <c r="C57" i="15"/>
  <c r="D22" i="15"/>
  <c r="D23" i="15"/>
  <c r="D26" i="15"/>
  <c r="D25" i="15"/>
  <c r="D29" i="15"/>
  <c r="D28" i="15"/>
  <c r="C43" i="13" l="1"/>
  <c r="C45" i="13" s="1"/>
  <c r="C13" i="3" s="1"/>
  <c r="C51" i="9"/>
  <c r="C43" i="12"/>
  <c r="C45" i="12" s="1"/>
  <c r="C12" i="3" s="1"/>
  <c r="C57" i="6"/>
  <c r="E6" i="3" s="1"/>
  <c r="C51" i="6"/>
  <c r="F9" i="9"/>
  <c r="F9" i="6"/>
  <c r="C57" i="9"/>
  <c r="C57" i="13"/>
  <c r="C43" i="10"/>
  <c r="C45" i="10" s="1"/>
  <c r="C10" i="3" s="1"/>
  <c r="C51" i="8"/>
  <c r="B13" i="3"/>
  <c r="C43" i="15"/>
  <c r="C45" i="15" s="1"/>
  <c r="C15" i="3" s="1"/>
  <c r="F9" i="13"/>
  <c r="C57" i="8"/>
  <c r="E8" i="3" s="1"/>
  <c r="C43" i="11"/>
  <c r="C45" i="11" s="1"/>
  <c r="C11" i="3" s="1"/>
  <c r="E7" i="3"/>
  <c r="C59" i="7"/>
  <c r="F7" i="3" s="1"/>
  <c r="E9" i="3"/>
  <c r="C59" i="9"/>
  <c r="F9" i="3" s="1"/>
  <c r="E10" i="3"/>
  <c r="C59" i="10"/>
  <c r="F10" i="3" s="1"/>
  <c r="F9" i="11"/>
  <c r="B11" i="3"/>
  <c r="C51" i="11"/>
  <c r="C57" i="11"/>
  <c r="F9" i="12"/>
  <c r="B12" i="3"/>
  <c r="C57" i="12"/>
  <c r="C51" i="12"/>
  <c r="E13" i="3"/>
  <c r="C59" i="13"/>
  <c r="F13" i="3" s="1"/>
  <c r="E15" i="3"/>
  <c r="C59" i="15"/>
  <c r="F15" i="3" s="1"/>
  <c r="G14" i="3"/>
  <c r="H14" i="3"/>
  <c r="I14" i="3"/>
  <c r="C43" i="8"/>
  <c r="C45" i="8" s="1"/>
  <c r="C8" i="3" s="1"/>
  <c r="C59" i="8" l="1"/>
  <c r="F8" i="3" s="1"/>
  <c r="G8" i="3" s="1"/>
  <c r="C59" i="6"/>
  <c r="F6" i="3" s="1"/>
  <c r="G13" i="3"/>
  <c r="H13" i="3"/>
  <c r="I13" i="3"/>
  <c r="I6" i="3"/>
  <c r="G6" i="3"/>
  <c r="G19" i="3" s="1"/>
  <c r="H6" i="3"/>
  <c r="H19" i="3" s="1"/>
  <c r="I7" i="3"/>
  <c r="G7" i="3"/>
  <c r="H7" i="3"/>
  <c r="C59" i="11"/>
  <c r="F11" i="3" s="1"/>
  <c r="E11" i="3"/>
  <c r="E12" i="3"/>
  <c r="C59" i="12"/>
  <c r="F12" i="3" s="1"/>
  <c r="G9" i="3"/>
  <c r="H9" i="3"/>
  <c r="I9" i="3"/>
  <c r="I10" i="3"/>
  <c r="H10" i="3"/>
  <c r="G10" i="3"/>
  <c r="G15" i="3"/>
  <c r="H15" i="3"/>
  <c r="I15" i="3"/>
  <c r="H8" i="3" l="1"/>
  <c r="I8" i="3"/>
  <c r="G11" i="3"/>
  <c r="H11" i="3"/>
  <c r="I11" i="3"/>
  <c r="G12" i="3"/>
  <c r="H12" i="3"/>
  <c r="I12" i="3"/>
</calcChain>
</file>

<file path=xl/sharedStrings.xml><?xml version="1.0" encoding="utf-8"?>
<sst xmlns="http://schemas.openxmlformats.org/spreadsheetml/2006/main" count="379" uniqueCount="53">
  <si>
    <t>HEURE</t>
  </si>
  <si>
    <t>Fréq. Mesurée (Hz)</t>
  </si>
  <si>
    <t>Fréq. Réelle (Hz)</t>
  </si>
  <si>
    <t>F(i) - F(i+1)</t>
  </si>
  <si>
    <t>Ecart type =</t>
  </si>
  <si>
    <t>Incert. écart type =</t>
  </si>
  <si>
    <t>Incert. sup. =</t>
  </si>
  <si>
    <t>Incert. accréditée =</t>
  </si>
  <si>
    <t>Incert. globale (Hz)</t>
  </si>
  <si>
    <t>Fiche n° :</t>
  </si>
  <si>
    <t>Rubidium :</t>
  </si>
  <si>
    <t>Valeur fréq. réf.(Hz) =</t>
  </si>
  <si>
    <t>Valeur fréq. Corrigée (Hz) =</t>
  </si>
  <si>
    <t>Incert. de résolution (Hz) =</t>
  </si>
  <si>
    <t>Incert. Globale (Hz) =</t>
  </si>
  <si>
    <t>Fréq. Moy. Réel. (Hz) =</t>
  </si>
  <si>
    <t>Mesures</t>
  </si>
  <si>
    <t xml:space="preserve">Variance = </t>
  </si>
  <si>
    <t>Temps (s)</t>
  </si>
  <si>
    <t>Ecart type</t>
  </si>
  <si>
    <t>Incertitude</t>
  </si>
  <si>
    <t>Valeurs Maxi.</t>
  </si>
  <si>
    <t>Valeurs Mini.</t>
  </si>
  <si>
    <t>*</t>
  </si>
  <si>
    <t>Incert. accréditée</t>
  </si>
  <si>
    <t xml:space="preserve">CoeffA = </t>
  </si>
  <si>
    <t xml:space="preserve">CoeffB = </t>
  </si>
  <si>
    <t xml:space="preserve">Tps Porte en s = </t>
  </si>
  <si>
    <t xml:space="preserve">Nb mesures accrédité = </t>
  </si>
  <si>
    <t xml:space="preserve">Temps mesure accrédité = </t>
  </si>
  <si>
    <t xml:space="preserve">Coeff. Nb mesures = </t>
  </si>
  <si>
    <t xml:space="preserve">Coeff. Temps mesure = </t>
  </si>
  <si>
    <t xml:space="preserve">Incert. Glob. (NON Stab) = </t>
  </si>
  <si>
    <t>Fréq. Moyenne (Hz)</t>
  </si>
  <si>
    <t>F6_03994</t>
  </si>
  <si>
    <t>Le 31/03/2026</t>
  </si>
  <si>
    <t>Stabilité</t>
  </si>
  <si>
    <t>Fréquencemètre utilisé : Stanford SR620</t>
  </si>
  <si>
    <t>GPS + Microsys TL1014F</t>
  </si>
  <si>
    <t>Temps de comptage =</t>
  </si>
  <si>
    <t>10ms</t>
  </si>
  <si>
    <t>Coeff. multiplicateur d'écart =</t>
  </si>
  <si>
    <t xml:space="preserve">Fréquence nominale : </t>
  </si>
  <si>
    <t>20ms</t>
  </si>
  <si>
    <t>50ms</t>
  </si>
  <si>
    <t>100ms</t>
  </si>
  <si>
    <t>200ms</t>
  </si>
  <si>
    <t>500ms</t>
  </si>
  <si>
    <t>1s</t>
  </si>
  <si>
    <t>2s</t>
  </si>
  <si>
    <t>5s</t>
  </si>
  <si>
    <t>10s</t>
  </si>
  <si>
    <t xml:space="preserve">Module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</si>
</sst>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#,###,###,##0.0######"/>
    <numFmt numFmtId="165" formatCode="0.000\ 000\ 000"/>
    <numFmt numFmtId="166" formatCode="0.0000E+00"/>
    <numFmt numFmtId="167" formatCode="[$-F400]h:mm:ss\ AM/PM"/>
    <numFmt numFmtId="168" formatCode="#,##0.0000000"/>
    <numFmt numFmtId="169" formatCode="#,##0.000000000"/>
    <numFmt numFmtId="170" formatCode="0.000000000"/>
    <numFmt numFmtId="171" formatCode="[=0]&quot;&quot;;0.00E+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sz val="10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STABILITE</a:t>
            </a:r>
          </a:p>
        </c:rich>
      </c:tx>
      <c:layout>
        <c:manualLayout>
          <c:xMode val="edge"/>
          <c:yMode val="edge"/>
          <c:x val="0.4351038642293607"/>
          <c:y val="2.99401197604790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34240807984201"/>
          <c:y val="9.5808569986140971E-2"/>
          <c:w val="0.8097356795833327"/>
          <c:h val="0.69261612052481081"/>
        </c:manualLayout>
      </c:layout>
      <c:lineChart>
        <c:grouping val="standard"/>
        <c:varyColors val="0"/>
        <c:ser>
          <c:idx val="0"/>
          <c:order val="0"/>
          <c:tx>
            <c:strRef>
              <c:f>'Récap.'!$C$3</c:f>
              <c:strCache>
                <c:ptCount val="1"/>
                <c:pt idx="0">
                  <c:v>Ecart type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'Récap.'!$A$6:$A$15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cat>
          <c:val>
            <c:numRef>
              <c:f>'Récap.'!$C$6:$C$15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E-4676-94AC-0473F2E257F8}"/>
            </c:ext>
          </c:extLst>
        </c:ser>
        <c:ser>
          <c:idx val="1"/>
          <c:order val="1"/>
          <c:tx>
            <c:strRef>
              <c:f>'Récap.'!$G$3</c:f>
              <c:strCache>
                <c:ptCount val="1"/>
                <c:pt idx="0">
                  <c:v>Valeurs Maxi.</c:v>
                </c:pt>
              </c:strCache>
            </c:strRef>
          </c:tx>
          <c:spPr>
            <a:ln w="38100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'Récap.'!$A$6:$A$15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cat>
          <c:val>
            <c:numRef>
              <c:f>'Récap.'!$G$6:$G$15</c:f>
              <c:numCache>
                <c:formatCode>[=0]"";0.00E+00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E-4676-94AC-0473F2E257F8}"/>
            </c:ext>
          </c:extLst>
        </c:ser>
        <c:ser>
          <c:idx val="2"/>
          <c:order val="2"/>
          <c:tx>
            <c:strRef>
              <c:f>'Récap.'!$H$3</c:f>
              <c:strCache>
                <c:ptCount val="1"/>
                <c:pt idx="0">
                  <c:v>Valeurs Mini.</c:v>
                </c:pt>
              </c:strCache>
            </c:strRef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'Récap.'!$A$6:$A$15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cat>
          <c:val>
            <c:numRef>
              <c:f>'Récap.'!$H$6:$H$15</c:f>
              <c:numCache>
                <c:formatCode>[=0]"";0.00E+00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E-4676-94AC-0473F2E25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175">
              <a:solidFill>
                <a:srgbClr val="000000"/>
              </a:solidFill>
              <a:prstDash val="solid"/>
            </a:ln>
          </c:spPr>
        </c:hiLowLines>
        <c:marker val="1"/>
        <c:smooth val="0"/>
        <c:axId val="454396536"/>
        <c:axId val="1"/>
      </c:lineChart>
      <c:catAx>
        <c:axId val="454396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Temps de Mesure (s)</a:t>
                </a:r>
              </a:p>
            </c:rich>
          </c:tx>
          <c:layout>
            <c:manualLayout>
              <c:xMode val="edge"/>
              <c:yMode val="edge"/>
              <c:x val="0.44247849549779728"/>
              <c:y val="0.860281117554916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9.9999999999999998E-13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logBase val="10"/>
          <c:orientation val="minMax"/>
          <c:max val="1E-8"/>
          <c:min val="9.9999999999999998E-13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Stabilité relative</a:t>
                </a:r>
              </a:p>
            </c:rich>
          </c:tx>
          <c:layout>
            <c:manualLayout>
              <c:xMode val="edge"/>
              <c:yMode val="edge"/>
              <c:x val="2.359882005899705E-2"/>
              <c:y val="0.32135791409307368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4396536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3746312684365781E-3"/>
          <c:y val="0.86028111755491632"/>
          <c:w val="0.15634233773875611"/>
          <c:h val="0.133732744484783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371475</xdr:colOff>
      <xdr:row>46</xdr:row>
      <xdr:rowOff>76200</xdr:rowOff>
    </xdr:to>
    <xdr:graphicFrame macro="">
      <xdr:nvGraphicFramePr>
        <xdr:cNvPr id="1030" name="GrapheStab">
          <a:extLst>
            <a:ext uri="{FF2B5EF4-FFF2-40B4-BE49-F238E27FC236}">
              <a16:creationId xmlns:a16="http://schemas.microsoft.com/office/drawing/2014/main" id="{FC7EE353-BE28-0BB5-E302-8E1468393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XE_SPE/FCT_VBA/Metrologo.xla" TargetMode="External"/><Relationship Id="rId1" Type="http://schemas.openxmlformats.org/officeDocument/2006/relationships/externalLinkPath" Target="/EXE_SPE/FCT_VBA/Metrolog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  <sheetName val="Feuil2"/>
      <sheetName val="Feuil3"/>
      <sheetName val="Metrologo"/>
    </sheetNames>
    <definedNames>
      <definedName name="Cal_ecart_type"/>
      <definedName name="Cal_freq_corrigee"/>
      <definedName name="Cal_incert_ecart_type"/>
      <definedName name="Cal_incert_global"/>
      <definedName name="Cal_variance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4603-C40B-468E-B606-A73A5A1AC496}">
  <sheetPr codeName="ModeleMesure"/>
  <dimension ref="A1:F31"/>
  <sheetViews>
    <sheetView tabSelected="1" workbookViewId="0">
      <selection activeCell="E11" sqref="E11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/>
      <c r="C1" s="1"/>
    </row>
    <row r="2" spans="1:6" x14ac:dyDescent="0.2">
      <c r="A2" s="2"/>
      <c r="C2" s="14"/>
      <c r="E2" s="26" t="s">
        <v>25</v>
      </c>
    </row>
    <row r="3" spans="1:6" x14ac:dyDescent="0.2">
      <c r="A3" s="2" t="s">
        <v>10</v>
      </c>
      <c r="B3" s="14"/>
      <c r="C3" s="30"/>
      <c r="D3" s="31"/>
      <c r="E3" s="26" t="s">
        <v>26</v>
      </c>
    </row>
    <row r="4" spans="1:6" x14ac:dyDescent="0.2">
      <c r="C4" s="17"/>
      <c r="D4" s="18"/>
      <c r="E4" s="27" t="s">
        <v>27</v>
      </c>
    </row>
    <row r="5" spans="1:6" x14ac:dyDescent="0.2">
      <c r="A5" s="18"/>
      <c r="B5" s="14" t="s">
        <v>16</v>
      </c>
      <c r="C5" s="17"/>
      <c r="D5" s="19"/>
      <c r="E5" s="28" t="s">
        <v>28</v>
      </c>
    </row>
    <row r="6" spans="1:6" x14ac:dyDescent="0.2">
      <c r="E6" s="26" t="s">
        <v>29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</v>
      </c>
    </row>
    <row r="8" spans="1:6" x14ac:dyDescent="0.2">
      <c r="E8" s="26" t="s">
        <v>31</v>
      </c>
      <c r="F8" s="16">
        <f>IF(ISBLANK(ZNValGateSecondes),,ZNTempsMesureAccredite/ZNValGateSecondes)</f>
        <v>0</v>
      </c>
    </row>
    <row r="9" spans="1:6" x14ac:dyDescent="0.2">
      <c r="A9" s="11"/>
      <c r="B9" s="13"/>
      <c r="C9" s="13">
        <f>IF(ISBLANK(ZNCoeffMult),B9,(((B9-10000000)/(POWER(10,ZNCoeffMult)*10000000))+1)*ZNValFNominale)</f>
        <v>0</v>
      </c>
      <c r="E9" s="29" t="s">
        <v>32</v>
      </c>
      <c r="F9" s="16">
        <f>IF(ISBLANK(ZNIncertSup),,([1]!Cal_incert_global(ZNIncertAccreditee,ZNCoeffNbMes,ZNCoeffTempsMesure,ZNVariance,ZNIncertResol/ZNFreqMoyReel,ZNIncertSup)*ZNFreqMoyReel))</f>
        <v>0</v>
      </c>
    </row>
    <row r="10" spans="1:6" x14ac:dyDescent="0.2">
      <c r="A10" s="11"/>
      <c r="B10" s="13"/>
      <c r="C10" s="13">
        <f>IF(ISBLANK(ZNCoeffMult),B10,(((B10-10000000)/(POWER(10,ZNCoeffMult)*10000000))+1)*ZNValFNominale)</f>
        <v>0</v>
      </c>
      <c r="D10" s="16">
        <f>C9-C10</f>
        <v>0</v>
      </c>
      <c r="E10" s="26" t="s">
        <v>52</v>
      </c>
    </row>
    <row r="13" spans="1:6" x14ac:dyDescent="0.2">
      <c r="B13" s="3" t="s">
        <v>15</v>
      </c>
      <c r="C13" s="13"/>
    </row>
    <row r="15" spans="1:6" x14ac:dyDescent="0.2">
      <c r="B15" s="3" t="s">
        <v>17</v>
      </c>
      <c r="C15" s="5"/>
    </row>
    <row r="17" spans="2:3" x14ac:dyDescent="0.2">
      <c r="B17" s="3" t="s">
        <v>4</v>
      </c>
      <c r="C17" s="5">
        <f>IF(ISBLANK(ZNVariance),,[1]!Cal_ecart_type(ZNVariance))</f>
        <v>0</v>
      </c>
    </row>
    <row r="19" spans="2:3" x14ac:dyDescent="0.2">
      <c r="B19" s="3" t="s">
        <v>5</v>
      </c>
      <c r="C19" s="5">
        <f>IF(ISBLANK(ZNNbMesures),,[1]!Cal_incert_ecart_type(ZNVariance,ZNNbMesures))</f>
        <v>0</v>
      </c>
    </row>
    <row r="21" spans="2:3" x14ac:dyDescent="0.2">
      <c r="B21" s="3" t="s">
        <v>11</v>
      </c>
      <c r="C21" s="12"/>
    </row>
    <row r="23" spans="2:3" x14ac:dyDescent="0.2">
      <c r="B23" s="3" t="s">
        <v>12</v>
      </c>
      <c r="C23" s="12">
        <f>IF(ISBLANK(ZNFreqMoyReel),,[1]!Cal_freq_corrigee(ZNFreqMoyReel,ZNFreqRef))</f>
        <v>0</v>
      </c>
    </row>
    <row r="25" spans="2:3" x14ac:dyDescent="0.2">
      <c r="B25" s="3" t="s">
        <v>13</v>
      </c>
      <c r="C25" s="6"/>
    </row>
    <row r="27" spans="2:3" x14ac:dyDescent="0.2">
      <c r="B27" s="3" t="s">
        <v>6</v>
      </c>
      <c r="C27" s="6"/>
    </row>
    <row r="29" spans="2:3" x14ac:dyDescent="0.2">
      <c r="B29" s="3" t="s">
        <v>7</v>
      </c>
      <c r="C29" s="6">
        <f>IF(ISBLANK(ZNCoeffB),,(IF(ISBLANK(ZNFreqMoyReel),,ZNCoeffB/ZNFreqMoyReel+ZNCoeffA)))</f>
        <v>0</v>
      </c>
    </row>
    <row r="31" spans="2:3" x14ac:dyDescent="0.2">
      <c r="B31" s="3" t="s">
        <v>14</v>
      </c>
      <c r="C31" s="6">
        <f>IF(A2="Stabilité",SQRT(POWER(ZNIncertAccreditee,2)+POWER(ZNIncertEcartType,2)),ZNIncertGlobNONStab)</f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EECF-3C03-4E00-9430-A56A66DB8201}">
  <sheetPr codeName="RecapStab">
    <pageSetUpPr fitToPage="1"/>
  </sheetPr>
  <dimension ref="A1:I30"/>
  <sheetViews>
    <sheetView workbookViewId="0"/>
  </sheetViews>
  <sheetFormatPr baseColWidth="10" defaultRowHeight="12.75" x14ac:dyDescent="0.2"/>
  <cols>
    <col min="1" max="1" width="11.7109375" style="20" customWidth="1"/>
    <col min="2" max="2" width="20.7109375" style="25" customWidth="1"/>
    <col min="3" max="4" width="20.7109375" style="21" customWidth="1"/>
    <col min="5" max="5" width="17.42578125" style="21" customWidth="1"/>
    <col min="6" max="6" width="18.7109375" style="21" customWidth="1"/>
    <col min="7" max="8" width="20.7109375" style="21" customWidth="1"/>
    <col min="9" max="16384" width="11.42578125" style="20"/>
  </cols>
  <sheetData>
    <row r="1" spans="1:9" x14ac:dyDescent="0.2">
      <c r="A1" s="7" t="s">
        <v>9</v>
      </c>
      <c r="B1" s="15" t="s">
        <v>34</v>
      </c>
      <c r="C1" s="20"/>
      <c r="D1" s="21" t="s">
        <v>35</v>
      </c>
      <c r="H1" s="35"/>
    </row>
    <row r="3" spans="1:9" s="22" customFormat="1" x14ac:dyDescent="0.2">
      <c r="A3" s="22" t="s">
        <v>18</v>
      </c>
      <c r="B3" s="23" t="s">
        <v>33</v>
      </c>
      <c r="C3" s="24" t="s">
        <v>19</v>
      </c>
      <c r="D3" s="24" t="s">
        <v>20</v>
      </c>
      <c r="E3" s="24" t="s">
        <v>24</v>
      </c>
      <c r="F3" s="24" t="s">
        <v>8</v>
      </c>
      <c r="G3" s="24" t="s">
        <v>21</v>
      </c>
      <c r="H3" s="24" t="s">
        <v>22</v>
      </c>
    </row>
    <row r="5" spans="1:9" x14ac:dyDescent="0.2">
      <c r="B5" s="32"/>
      <c r="G5" s="33">
        <f t="shared" ref="G5:G15" si="0">C5+F5</f>
        <v>0</v>
      </c>
      <c r="H5" s="33">
        <f t="shared" ref="H5:H15" si="1">IF(ISBLANK(C5),,IF((C5-F5)&lt;=0,0.000000000001,MAX(0.000000000001,C5-F5)))</f>
        <v>0</v>
      </c>
      <c r="I5" s="20" t="str">
        <f t="shared" ref="I5:I15" si="2">IF(AND(NOT(ISBLANK(C5)),(C5-F5)&lt;=0),"*","")</f>
        <v/>
      </c>
    </row>
    <row r="6" spans="1:9" x14ac:dyDescent="0.2">
      <c r="A6" s="20">
        <f>'1'!ZNValGateSecondes</f>
        <v>0.01</v>
      </c>
      <c r="B6" s="32">
        <f>'1'!ZNFreqMoyReel</f>
        <v>9999999.0019477047</v>
      </c>
      <c r="C6" s="21" t="e">
        <f ca="1">'1'!ZNEcartType</f>
        <v>#NAME?</v>
      </c>
      <c r="D6" s="21" t="e">
        <f ca="1">'1'!ZNIncertEcartType</f>
        <v>#NAME?</v>
      </c>
      <c r="E6" s="21">
        <f>'1'!ZNIncertAccreditee</f>
        <v>1.3999999999999999E-9</v>
      </c>
      <c r="F6" s="21" t="e">
        <f ca="1">'1'!ZNIncertGlobale</f>
        <v>#NAME?</v>
      </c>
      <c r="G6" s="33" t="e">
        <f t="shared" ca="1" si="0"/>
        <v>#NAME?</v>
      </c>
      <c r="H6" s="33" t="e">
        <f t="shared" ca="1" si="1"/>
        <v>#NAME?</v>
      </c>
      <c r="I6" s="20" t="e">
        <f t="shared" ca="1" si="2"/>
        <v>#NAME?</v>
      </c>
    </row>
    <row r="7" spans="1:9" x14ac:dyDescent="0.2">
      <c r="A7" s="20">
        <f>'2'!ZNValGateSecondes</f>
        <v>0.02</v>
      </c>
      <c r="B7" s="32">
        <f>'2'!ZNFreqMoyReel</f>
        <v>9999999.0023895632</v>
      </c>
      <c r="C7" s="21" t="e">
        <f ca="1">'2'!ZNEcartType</f>
        <v>#NAME?</v>
      </c>
      <c r="D7" s="21" t="e">
        <f ca="1">'2'!ZNIncertEcartType</f>
        <v>#NAME?</v>
      </c>
      <c r="E7" s="21">
        <f>'2'!ZNIncertAccreditee</f>
        <v>1.6000000000000001E-9</v>
      </c>
      <c r="F7" s="21" t="e">
        <f ca="1">'2'!ZNIncertGlobale</f>
        <v>#NAME?</v>
      </c>
      <c r="G7" s="33" t="e">
        <f t="shared" ca="1" si="0"/>
        <v>#NAME?</v>
      </c>
      <c r="H7" s="33" t="e">
        <f t="shared" ca="1" si="1"/>
        <v>#NAME?</v>
      </c>
      <c r="I7" s="20" t="e">
        <f t="shared" ca="1" si="2"/>
        <v>#NAME?</v>
      </c>
    </row>
    <row r="8" spans="1:9" x14ac:dyDescent="0.2">
      <c r="A8" s="20">
        <f>'3'!ZNValGateSecondes</f>
        <v>0.05</v>
      </c>
      <c r="B8" s="32">
        <f>'3'!ZNFreqMoyReel</f>
        <v>9999999.002536865</v>
      </c>
      <c r="C8" s="21" t="e">
        <f ca="1">'3'!ZNEcartType</f>
        <v>#NAME?</v>
      </c>
      <c r="D8" s="21" t="e">
        <f ca="1">'3'!ZNIncertEcartType</f>
        <v>#NAME?</v>
      </c>
      <c r="E8" s="21">
        <f>'3'!ZNIncertAccreditee</f>
        <v>8.3000000000000003E-10</v>
      </c>
      <c r="F8" s="21" t="e">
        <f ca="1">'3'!ZNIncertGlobale</f>
        <v>#NAME?</v>
      </c>
      <c r="G8" s="33" t="e">
        <f t="shared" ca="1" si="0"/>
        <v>#NAME?</v>
      </c>
      <c r="H8" s="33" t="e">
        <f t="shared" ca="1" si="1"/>
        <v>#NAME?</v>
      </c>
      <c r="I8" s="20" t="e">
        <f t="shared" ca="1" si="2"/>
        <v>#NAME?</v>
      </c>
    </row>
    <row r="9" spans="1:9" x14ac:dyDescent="0.2">
      <c r="A9" s="20">
        <f>'4'!ZNValGateSecondes</f>
        <v>0.1</v>
      </c>
      <c r="B9" s="32">
        <f>'4'!ZNFreqMoyReel</f>
        <v>9999999.0033163317</v>
      </c>
      <c r="C9" s="21" t="e">
        <f ca="1">'4'!ZNEcartType</f>
        <v>#NAME?</v>
      </c>
      <c r="D9" s="21" t="e">
        <f ca="1">'4'!ZNIncertEcartType</f>
        <v>#NAME?</v>
      </c>
      <c r="E9" s="21">
        <f>'4'!ZNIncertAccreditee</f>
        <v>6.5000000000000003E-10</v>
      </c>
      <c r="F9" s="21" t="e">
        <f ca="1">'4'!ZNIncertGlobale</f>
        <v>#NAME?</v>
      </c>
      <c r="G9" s="33" t="e">
        <f t="shared" ca="1" si="0"/>
        <v>#NAME?</v>
      </c>
      <c r="H9" s="33" t="e">
        <f t="shared" ca="1" si="1"/>
        <v>#NAME?</v>
      </c>
      <c r="I9" s="20" t="e">
        <f t="shared" ca="1" si="2"/>
        <v>#NAME?</v>
      </c>
    </row>
    <row r="10" spans="1:9" x14ac:dyDescent="0.2">
      <c r="A10" s="20">
        <f>'5'!ZNValGateSecondes</f>
        <v>0.2</v>
      </c>
      <c r="B10" s="32">
        <f>'5'!ZNFreqMoyReel</f>
        <v>9999999.0022157133</v>
      </c>
      <c r="C10" s="21" t="e">
        <f ca="1">'5'!ZNEcartType</f>
        <v>#NAME?</v>
      </c>
      <c r="D10" s="21" t="e">
        <f ca="1">'5'!ZNIncertEcartType</f>
        <v>#NAME?</v>
      </c>
      <c r="E10" s="21">
        <f>'5'!ZNIncertAccreditee</f>
        <v>3.7999999999999998E-10</v>
      </c>
      <c r="F10" s="21" t="e">
        <f ca="1">'5'!ZNIncertGlobale</f>
        <v>#NAME?</v>
      </c>
      <c r="G10" s="33" t="e">
        <f t="shared" ca="1" si="0"/>
        <v>#NAME?</v>
      </c>
      <c r="H10" s="33" t="e">
        <f t="shared" ca="1" si="1"/>
        <v>#NAME?</v>
      </c>
      <c r="I10" s="20" t="e">
        <f t="shared" ca="1" si="2"/>
        <v>#NAME?</v>
      </c>
    </row>
    <row r="11" spans="1:9" x14ac:dyDescent="0.2">
      <c r="A11" s="20">
        <f>'6'!ZNValGateSecondes</f>
        <v>0.5</v>
      </c>
      <c r="B11" s="32">
        <f>'6'!ZNFreqMoyReel</f>
        <v>9999999.0024067573</v>
      </c>
      <c r="C11" s="21" t="e">
        <f ca="1">'6'!ZNEcartType</f>
        <v>#NAME?</v>
      </c>
      <c r="D11" s="21" t="e">
        <f ca="1">'6'!ZNIncertEcartType</f>
        <v>#NAME?</v>
      </c>
      <c r="E11" s="21">
        <f>'6'!ZNIncertAccreditee</f>
        <v>1.5E-10</v>
      </c>
      <c r="F11" s="21" t="e">
        <f ca="1">'6'!ZNIncertGlobale</f>
        <v>#NAME?</v>
      </c>
      <c r="G11" s="33" t="e">
        <f t="shared" ca="1" si="0"/>
        <v>#NAME?</v>
      </c>
      <c r="H11" s="33" t="e">
        <f t="shared" ca="1" si="1"/>
        <v>#NAME?</v>
      </c>
      <c r="I11" s="20" t="e">
        <f t="shared" ca="1" si="2"/>
        <v>#NAME?</v>
      </c>
    </row>
    <row r="12" spans="1:9" x14ac:dyDescent="0.2">
      <c r="A12" s="20">
        <f>'7'!ZNValGateSecondes</f>
        <v>1</v>
      </c>
      <c r="B12" s="32">
        <f>'7'!ZNFreqMoyReel</f>
        <v>9999999.0010707881</v>
      </c>
      <c r="C12" s="21" t="e">
        <f ca="1">'7'!ZNEcartType</f>
        <v>#NAME?</v>
      </c>
      <c r="D12" s="21" t="e">
        <f ca="1">'7'!ZNIncertEcartType</f>
        <v>#NAME?</v>
      </c>
      <c r="E12" s="21">
        <f>'7'!ZNIncertAccreditee</f>
        <v>8.3999999999999994E-11</v>
      </c>
      <c r="F12" s="21" t="e">
        <f ca="1">'7'!ZNIncertGlobale</f>
        <v>#NAME?</v>
      </c>
      <c r="G12" s="33" t="e">
        <f t="shared" ca="1" si="0"/>
        <v>#NAME?</v>
      </c>
      <c r="H12" s="33" t="e">
        <f t="shared" ca="1" si="1"/>
        <v>#NAME?</v>
      </c>
      <c r="I12" s="20" t="e">
        <f t="shared" ca="1" si="2"/>
        <v>#NAME?</v>
      </c>
    </row>
    <row r="13" spans="1:9" x14ac:dyDescent="0.2">
      <c r="A13" s="20">
        <f>'8'!ZNValGateSecondes</f>
        <v>2</v>
      </c>
      <c r="B13" s="32">
        <f>'8'!ZNFreqMoyReel</f>
        <v>9999998.9984375779</v>
      </c>
      <c r="C13" s="21" t="e">
        <f ca="1">'8'!ZNEcartType</f>
        <v>#NAME?</v>
      </c>
      <c r="D13" s="21" t="e">
        <f ca="1">'8'!ZNIncertEcartType</f>
        <v>#NAME?</v>
      </c>
      <c r="E13" s="21">
        <f>'8'!ZNIncertAccreditee</f>
        <v>3.9999999999999998E-11</v>
      </c>
      <c r="F13" s="21" t="e">
        <f ca="1">'8'!ZNIncertGlobale</f>
        <v>#NAME?</v>
      </c>
      <c r="G13" s="33" t="e">
        <f t="shared" ca="1" si="0"/>
        <v>#NAME?</v>
      </c>
      <c r="H13" s="33" t="e">
        <f t="shared" ca="1" si="1"/>
        <v>#NAME?</v>
      </c>
      <c r="I13" s="20" t="e">
        <f t="shared" ca="1" si="2"/>
        <v>#NAME?</v>
      </c>
    </row>
    <row r="14" spans="1:9" x14ac:dyDescent="0.2">
      <c r="A14" s="20">
        <f>'9'!ZNValGateSecondes</f>
        <v>5</v>
      </c>
      <c r="B14" s="32">
        <f>'9'!ZNFreqMoyReel</f>
        <v>9999998.9949760865</v>
      </c>
      <c r="C14" s="21" t="e">
        <f ca="1">'9'!ZNEcartType</f>
        <v>#NAME?</v>
      </c>
      <c r="D14" s="21" t="e">
        <f ca="1">'9'!ZNIncertEcartType</f>
        <v>#NAME?</v>
      </c>
      <c r="E14" s="21">
        <f>'9'!ZNIncertAccreditee</f>
        <v>3E-11</v>
      </c>
      <c r="F14" s="21" t="e">
        <f ca="1">'9'!ZNIncertGlobale</f>
        <v>#NAME?</v>
      </c>
      <c r="G14" s="33" t="e">
        <f t="shared" ca="1" si="0"/>
        <v>#NAME?</v>
      </c>
      <c r="H14" s="33" t="e">
        <f t="shared" ca="1" si="1"/>
        <v>#NAME?</v>
      </c>
      <c r="I14" s="20" t="e">
        <f t="shared" ca="1" si="2"/>
        <v>#NAME?</v>
      </c>
    </row>
    <row r="15" spans="1:9" x14ac:dyDescent="0.2">
      <c r="A15" s="20">
        <f>'10'!ZNValGateSecondes</f>
        <v>10</v>
      </c>
      <c r="B15" s="32">
        <f>'10'!ZNFreqMoyReel</f>
        <v>9999998.9861680157</v>
      </c>
      <c r="C15" s="21" t="e">
        <f ca="1">'10'!ZNEcartType</f>
        <v>#NAME?</v>
      </c>
      <c r="D15" s="21" t="e">
        <f ca="1">'10'!ZNIncertEcartType</f>
        <v>#NAME?</v>
      </c>
      <c r="E15" s="21">
        <f>'10'!ZNIncertAccreditee</f>
        <v>1.9999999999999999E-11</v>
      </c>
      <c r="F15" s="21" t="e">
        <f ca="1">'10'!ZNIncertGlobale</f>
        <v>#NAME?</v>
      </c>
      <c r="G15" s="33" t="e">
        <f t="shared" ca="1" si="0"/>
        <v>#NAME?</v>
      </c>
      <c r="H15" s="33" t="e">
        <f t="shared" ca="1" si="1"/>
        <v>#NAME?</v>
      </c>
      <c r="I15" s="20" t="e">
        <f t="shared" ca="1" si="2"/>
        <v>#NAME?</v>
      </c>
    </row>
    <row r="19" spans="1:9" x14ac:dyDescent="0.2">
      <c r="G19" s="21" t="e">
        <f ca="1">LARGE(G$6:G$15,1)</f>
        <v>#NAME?</v>
      </c>
      <c r="H19" s="21" t="e">
        <f ca="1">SMALL(H$6:H$15,1)</f>
        <v>#NAME?</v>
      </c>
    </row>
    <row r="29" spans="1:9" s="36" customFormat="1" x14ac:dyDescent="0.2">
      <c r="A29" s="36">
        <v>0.01</v>
      </c>
      <c r="B29" s="37">
        <v>9999999.9998016991</v>
      </c>
      <c r="C29" s="34">
        <v>1.9217466269109408E-10</v>
      </c>
      <c r="D29" s="34">
        <v>7.0172265157905791E-11</v>
      </c>
      <c r="E29" s="34">
        <v>3E-10</v>
      </c>
      <c r="F29" s="34">
        <v>3.0809762543289982E-10</v>
      </c>
      <c r="G29" s="34">
        <v>5.0027228812399391E-10</v>
      </c>
      <c r="H29" s="34">
        <v>9.9999999999999998E-13</v>
      </c>
      <c r="I29" s="36" t="s">
        <v>23</v>
      </c>
    </row>
    <row r="30" spans="1:9" s="36" customFormat="1" x14ac:dyDescent="0.2">
      <c r="A30" s="36">
        <v>100</v>
      </c>
      <c r="B30" s="37">
        <v>9999999.9999401346</v>
      </c>
      <c r="C30" s="34">
        <v>2.654895714482335E-12</v>
      </c>
      <c r="D30" s="34">
        <v>9.6943084709718001E-13</v>
      </c>
      <c r="E30" s="34">
        <v>7.9999999999999998E-12</v>
      </c>
      <c r="F30" s="34">
        <v>8.058523200146758E-12</v>
      </c>
      <c r="G30" s="34">
        <v>1.0713418914629093E-11</v>
      </c>
      <c r="H30" s="34">
        <v>9.9999999999999998E-13</v>
      </c>
      <c r="I30" s="36" t="s">
        <v>23</v>
      </c>
    </row>
  </sheetData>
  <sheetProtection password="D2A3" sheet="1" objects="1" scenarios="1"/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Header>&amp;L&amp;Z&amp;F - &amp;A</oddHeader>
    <oddFooter>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06B3-954E-499E-8D5B-9AF5DAF7523B}">
  <sheetPr codeName="ModeleMesure10"/>
  <dimension ref="A1:F59"/>
  <sheetViews>
    <sheetView topLeftCell="A4" workbookViewId="0">
      <selection activeCell="C9" sqref="C9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1.9999999999999999E-11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51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10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10</v>
      </c>
    </row>
    <row r="9" spans="1:6" x14ac:dyDescent="0.2">
      <c r="A9" s="11">
        <v>0.27111111111111114</v>
      </c>
      <c r="B9" s="13">
        <v>9989915.6841499992</v>
      </c>
      <c r="C9" s="13">
        <f t="shared" ref="C9:C38" si="0">IF(ISBLANK(ZNCoeffMult),B9,(((B9-10000000)/(POWER(10,ZNCoeffMult)*10000000))+1)*ZNValFNominale)</f>
        <v>9999998.9915684145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0.27122685185185186</v>
      </c>
      <c r="B10" s="13">
        <v>9989911.8674299996</v>
      </c>
      <c r="C10" s="13">
        <f t="shared" si="0"/>
        <v>9999998.9911867417</v>
      </c>
      <c r="D10" s="16">
        <f t="shared" ref="D10:D38" si="1">C9-C10</f>
        <v>3.8167275488376617E-4</v>
      </c>
    </row>
    <row r="11" spans="1:6" x14ac:dyDescent="0.2">
      <c r="A11" s="11">
        <v>0.27134259259259258</v>
      </c>
      <c r="B11" s="13">
        <v>9989908.5684200004</v>
      </c>
      <c r="C11" s="13">
        <f t="shared" si="0"/>
        <v>9999998.9908568412</v>
      </c>
      <c r="D11" s="16">
        <f t="shared" si="1"/>
        <v>3.2990053296089172E-4</v>
      </c>
    </row>
    <row r="12" spans="1:6" x14ac:dyDescent="0.2">
      <c r="A12" s="11">
        <v>0.2714583333333333</v>
      </c>
      <c r="B12" s="13">
        <v>9989903.0535499994</v>
      </c>
      <c r="C12" s="13">
        <f t="shared" si="0"/>
        <v>9999998.9903053548</v>
      </c>
      <c r="D12" s="16">
        <f t="shared" si="1"/>
        <v>5.5148638784885406E-4</v>
      </c>
    </row>
    <row r="13" spans="1:6" x14ac:dyDescent="0.2">
      <c r="A13" s="11">
        <v>0.27157407407407408</v>
      </c>
      <c r="B13" s="13">
        <v>9989902.4271099996</v>
      </c>
      <c r="C13" s="13">
        <f t="shared" si="0"/>
        <v>9999998.9902427103</v>
      </c>
      <c r="D13" s="16">
        <f t="shared" si="1"/>
        <v>6.2644481658935547E-5</v>
      </c>
    </row>
    <row r="14" spans="1:6" x14ac:dyDescent="0.2">
      <c r="A14" s="11">
        <v>0.2716898148148148</v>
      </c>
      <c r="B14" s="13">
        <v>9989890.2469999995</v>
      </c>
      <c r="C14" s="13">
        <f t="shared" si="0"/>
        <v>9999998.9890247006</v>
      </c>
      <c r="D14" s="16">
        <f t="shared" si="1"/>
        <v>1.218009740114212E-3</v>
      </c>
    </row>
    <row r="15" spans="1:6" x14ac:dyDescent="0.2">
      <c r="A15" s="11">
        <v>0.27180555555555558</v>
      </c>
      <c r="B15" s="13">
        <v>9989888.3854200002</v>
      </c>
      <c r="C15" s="13">
        <f t="shared" si="0"/>
        <v>9999998.9888385423</v>
      </c>
      <c r="D15" s="16">
        <f t="shared" si="1"/>
        <v>1.8615834414958954E-4</v>
      </c>
    </row>
    <row r="16" spans="1:6" x14ac:dyDescent="0.2">
      <c r="A16" s="11">
        <v>0.2719212962962963</v>
      </c>
      <c r="B16" s="13">
        <v>9989885.1819400005</v>
      </c>
      <c r="C16" s="13">
        <f t="shared" si="0"/>
        <v>9999998.9885181934</v>
      </c>
      <c r="D16" s="16">
        <f t="shared" si="1"/>
        <v>3.2034888863563538E-4</v>
      </c>
    </row>
    <row r="17" spans="1:4" x14ac:dyDescent="0.2">
      <c r="A17" s="11">
        <v>0.27203703703703702</v>
      </c>
      <c r="B17" s="13">
        <v>9989877.9401900005</v>
      </c>
      <c r="C17" s="13">
        <f t="shared" si="0"/>
        <v>9999998.9877940193</v>
      </c>
      <c r="D17" s="16">
        <f t="shared" si="1"/>
        <v>7.2417408227920532E-4</v>
      </c>
    </row>
    <row r="18" spans="1:4" x14ac:dyDescent="0.2">
      <c r="A18" s="11">
        <v>0.27215277777777774</v>
      </c>
      <c r="B18" s="13">
        <v>9989879.5879800003</v>
      </c>
      <c r="C18" s="13">
        <f t="shared" si="0"/>
        <v>9999998.9879587982</v>
      </c>
      <c r="D18" s="16">
        <f t="shared" si="1"/>
        <v>-1.6477890312671661E-4</v>
      </c>
    </row>
    <row r="19" spans="1:4" x14ac:dyDescent="0.2">
      <c r="A19" s="11">
        <v>0.27226851851851852</v>
      </c>
      <c r="B19" s="13">
        <v>9989871.5784499999</v>
      </c>
      <c r="C19" s="13">
        <f t="shared" si="0"/>
        <v>9999998.9871578459</v>
      </c>
      <c r="D19" s="16">
        <f t="shared" si="1"/>
        <v>8.0095231533050537E-4</v>
      </c>
    </row>
    <row r="20" spans="1:4" x14ac:dyDescent="0.2">
      <c r="A20" s="11">
        <v>0.2723842592592593</v>
      </c>
      <c r="B20" s="13">
        <v>9989867.5878400002</v>
      </c>
      <c r="C20" s="13">
        <f t="shared" si="0"/>
        <v>9999998.9867587835</v>
      </c>
      <c r="D20" s="16">
        <f t="shared" si="1"/>
        <v>3.9906240999698639E-4</v>
      </c>
    </row>
    <row r="21" spans="1:4" x14ac:dyDescent="0.2">
      <c r="A21" s="11">
        <v>0.27250000000000002</v>
      </c>
      <c r="B21" s="13">
        <v>9989861.4443800002</v>
      </c>
      <c r="C21" s="13">
        <f t="shared" si="0"/>
        <v>9999998.9861444384</v>
      </c>
      <c r="D21" s="16">
        <f t="shared" si="1"/>
        <v>6.1434507369995117E-4</v>
      </c>
    </row>
    <row r="22" spans="1:4" x14ac:dyDescent="0.2">
      <c r="A22" s="11">
        <v>0.27262731481481484</v>
      </c>
      <c r="B22" s="13">
        <v>9989862.5001100004</v>
      </c>
      <c r="C22" s="13">
        <f t="shared" si="0"/>
        <v>9999998.9862500113</v>
      </c>
      <c r="D22" s="16">
        <f t="shared" si="1"/>
        <v>-1.0557286441326141E-4</v>
      </c>
    </row>
    <row r="23" spans="1:4" x14ac:dyDescent="0.2">
      <c r="A23" s="11">
        <v>0.27274305555555556</v>
      </c>
      <c r="B23" s="13">
        <v>9989859.0949300006</v>
      </c>
      <c r="C23" s="13">
        <f t="shared" si="0"/>
        <v>9999998.9859094936</v>
      </c>
      <c r="D23" s="16">
        <f t="shared" si="1"/>
        <v>3.4051761031150818E-4</v>
      </c>
    </row>
    <row r="24" spans="1:4" x14ac:dyDescent="0.2">
      <c r="A24" s="11">
        <v>0.27285879629629628</v>
      </c>
      <c r="B24" s="13">
        <v>9989861.1380599998</v>
      </c>
      <c r="C24" s="13">
        <f t="shared" si="0"/>
        <v>9999998.9861138053</v>
      </c>
      <c r="D24" s="16">
        <f t="shared" si="1"/>
        <v>-2.0431168377399445E-4</v>
      </c>
    </row>
    <row r="25" spans="1:4" x14ac:dyDescent="0.2">
      <c r="A25" s="11">
        <v>0.27297453703703706</v>
      </c>
      <c r="B25" s="13">
        <v>9989852.2228800002</v>
      </c>
      <c r="C25" s="13">
        <f t="shared" si="0"/>
        <v>9999998.9852222875</v>
      </c>
      <c r="D25" s="16">
        <f t="shared" si="1"/>
        <v>8.9151784777641296E-4</v>
      </c>
    </row>
    <row r="26" spans="1:4" x14ac:dyDescent="0.2">
      <c r="A26" s="11">
        <v>0.27309027777777778</v>
      </c>
      <c r="B26" s="13">
        <v>9989853.2393200006</v>
      </c>
      <c r="C26" s="13">
        <f t="shared" si="0"/>
        <v>9999998.985323932</v>
      </c>
      <c r="D26" s="16">
        <f t="shared" si="1"/>
        <v>-1.0164454579353333E-4</v>
      </c>
    </row>
    <row r="27" spans="1:4" x14ac:dyDescent="0.2">
      <c r="A27" s="11">
        <v>0.2732060185185185</v>
      </c>
      <c r="B27" s="13">
        <v>9989851.7618899997</v>
      </c>
      <c r="C27" s="13">
        <f t="shared" si="0"/>
        <v>9999998.9851761889</v>
      </c>
      <c r="D27" s="16">
        <f t="shared" si="1"/>
        <v>1.4774315059185028E-4</v>
      </c>
    </row>
    <row r="28" spans="1:4" x14ac:dyDescent="0.2">
      <c r="A28" s="11">
        <v>0.27332175925925922</v>
      </c>
      <c r="B28" s="13">
        <v>9989851.5687000006</v>
      </c>
      <c r="C28" s="13">
        <f t="shared" si="0"/>
        <v>9999998.9851568714</v>
      </c>
      <c r="D28" s="16">
        <f t="shared" si="1"/>
        <v>1.9317492842674255E-5</v>
      </c>
    </row>
    <row r="29" spans="1:4" x14ac:dyDescent="0.2">
      <c r="A29" s="11">
        <v>0.2734375</v>
      </c>
      <c r="B29" s="13">
        <v>9989847.2748499997</v>
      </c>
      <c r="C29" s="13">
        <f t="shared" si="0"/>
        <v>9999998.9847274851</v>
      </c>
      <c r="D29" s="16">
        <f t="shared" si="1"/>
        <v>4.2938627302646637E-4</v>
      </c>
    </row>
    <row r="30" spans="1:4" x14ac:dyDescent="0.2">
      <c r="A30" s="11">
        <v>0.27355324074074078</v>
      </c>
      <c r="B30" s="13">
        <v>9989837.3996099997</v>
      </c>
      <c r="C30" s="13">
        <f t="shared" si="0"/>
        <v>9999998.9837399609</v>
      </c>
      <c r="D30" s="16">
        <f t="shared" si="1"/>
        <v>9.8752416670322418E-4</v>
      </c>
    </row>
    <row r="31" spans="1:4" x14ac:dyDescent="0.2">
      <c r="A31" s="11">
        <v>0.2736689814814815</v>
      </c>
      <c r="B31" s="13">
        <v>9989836.9366999995</v>
      </c>
      <c r="C31" s="13">
        <f t="shared" si="0"/>
        <v>9999998.9836936705</v>
      </c>
      <c r="D31" s="16">
        <f t="shared" si="1"/>
        <v>4.6290457248687744E-5</v>
      </c>
    </row>
    <row r="32" spans="1:4" x14ac:dyDescent="0.2">
      <c r="A32" s="11">
        <v>0.27378472222222222</v>
      </c>
      <c r="B32" s="13">
        <v>9989837.7157000005</v>
      </c>
      <c r="C32" s="13">
        <f t="shared" si="0"/>
        <v>9999998.98377157</v>
      </c>
      <c r="D32" s="16">
        <f t="shared" si="1"/>
        <v>-7.7899545431137085E-5</v>
      </c>
    </row>
    <row r="33" spans="1:4" x14ac:dyDescent="0.2">
      <c r="A33" s="11">
        <v>0.27390046296296294</v>
      </c>
      <c r="B33" s="13">
        <v>9989827.8617000002</v>
      </c>
      <c r="C33" s="13">
        <f t="shared" si="0"/>
        <v>9999998.9827861693</v>
      </c>
      <c r="D33" s="16">
        <f t="shared" si="1"/>
        <v>9.8540075123310089E-4</v>
      </c>
    </row>
    <row r="34" spans="1:4" x14ac:dyDescent="0.2">
      <c r="A34" s="11">
        <v>0.27401620370370372</v>
      </c>
      <c r="B34" s="13">
        <v>9989830.2777500004</v>
      </c>
      <c r="C34" s="13">
        <f t="shared" si="0"/>
        <v>9999998.9830277748</v>
      </c>
      <c r="D34" s="16">
        <f t="shared" si="1"/>
        <v>-2.4160556495189667E-4</v>
      </c>
    </row>
    <row r="35" spans="1:4" x14ac:dyDescent="0.2">
      <c r="A35" s="11">
        <v>0.27413194444444444</v>
      </c>
      <c r="B35" s="13">
        <v>9989827.4993699994</v>
      </c>
      <c r="C35" s="13">
        <f t="shared" si="0"/>
        <v>9999998.9827499371</v>
      </c>
      <c r="D35" s="16">
        <f t="shared" si="1"/>
        <v>2.7783773839473724E-4</v>
      </c>
    </row>
    <row r="36" spans="1:4" x14ac:dyDescent="0.2">
      <c r="A36" s="11">
        <v>0.27425925925925926</v>
      </c>
      <c r="B36" s="13">
        <v>9989818.9638800006</v>
      </c>
      <c r="C36" s="13">
        <f t="shared" si="0"/>
        <v>9999998.9818963874</v>
      </c>
      <c r="D36" s="16">
        <f t="shared" si="1"/>
        <v>8.5354968905448914E-4</v>
      </c>
    </row>
    <row r="37" spans="1:4" x14ac:dyDescent="0.2">
      <c r="A37" s="11">
        <v>0.27437499999999998</v>
      </c>
      <c r="B37" s="13">
        <v>9989818.8754299991</v>
      </c>
      <c r="C37" s="13">
        <f t="shared" si="0"/>
        <v>9999998.9818875436</v>
      </c>
      <c r="D37" s="16">
        <f t="shared" si="1"/>
        <v>8.843839168548584E-6</v>
      </c>
    </row>
    <row r="38" spans="1:4" x14ac:dyDescent="0.2">
      <c r="A38" s="11">
        <v>0.2744907407407407</v>
      </c>
      <c r="B38" s="13">
        <v>9989812.5203699991</v>
      </c>
      <c r="C38" s="13">
        <f t="shared" si="0"/>
        <v>9999998.981252037</v>
      </c>
      <c r="D38" s="16">
        <f t="shared" si="1"/>
        <v>6.3550658524036407E-4</v>
      </c>
    </row>
    <row r="41" spans="1:4" x14ac:dyDescent="0.2">
      <c r="B41" s="3" t="s">
        <v>15</v>
      </c>
      <c r="C41" s="13">
        <f>IF(ISBLANK(ZNNbMesures),,AVERAGE(_10ZNPlageFReelle))</f>
        <v>9999998.9861680157</v>
      </c>
    </row>
    <row r="43" spans="1:4" x14ac:dyDescent="0.2">
      <c r="B43" s="3" t="s">
        <v>17</v>
      </c>
      <c r="C43" s="5" t="e">
        <f ca="1">[1]!Cal_variance(SUMSQ(_10ZNDeltaF),ZNNbMesures,ZNFreqMoyReel)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1.9999999999999999E-11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D379-F8F3-495D-9389-EC5A38E2C2B4}">
  <sheetPr codeName="ModeleMesure9"/>
  <dimension ref="A1:F59"/>
  <sheetViews>
    <sheetView topLeftCell="A12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3E-11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50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5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20</v>
      </c>
    </row>
    <row r="9" spans="1:6" x14ac:dyDescent="0.2">
      <c r="A9" s="11">
        <v>0.26925925925925925</v>
      </c>
      <c r="B9" s="13">
        <v>9989970.6459199991</v>
      </c>
      <c r="C9" s="13">
        <f t="shared" ref="C9:C38" si="0">IF(ISBLANK(ZNCoeffMult),B9,(((B9-10000000)/(POWER(10,ZNCoeffMult)*10000000))+1)*ZNValFNominale)</f>
        <v>9999998.9970645923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0.26931712962962961</v>
      </c>
      <c r="B10" s="13">
        <v>9989967.7968000006</v>
      </c>
      <c r="C10" s="13">
        <f t="shared" si="0"/>
        <v>9999998.9967796803</v>
      </c>
      <c r="D10" s="16">
        <f t="shared" ref="D10:D38" si="1">C9-C10</f>
        <v>2.8491206467151642E-4</v>
      </c>
    </row>
    <row r="11" spans="1:6" x14ac:dyDescent="0.2">
      <c r="A11" s="11">
        <v>0.26937499999999998</v>
      </c>
      <c r="B11" s="13">
        <v>9989962.1535400003</v>
      </c>
      <c r="C11" s="13">
        <f t="shared" si="0"/>
        <v>9999998.9962153528</v>
      </c>
      <c r="D11" s="16">
        <f t="shared" si="1"/>
        <v>5.6432746350765228E-4</v>
      </c>
    </row>
    <row r="12" spans="1:6" x14ac:dyDescent="0.2">
      <c r="A12" s="11">
        <v>0.26943287037037039</v>
      </c>
      <c r="B12" s="13">
        <v>9989970.6846799999</v>
      </c>
      <c r="C12" s="13">
        <f t="shared" si="0"/>
        <v>9999998.9970684685</v>
      </c>
      <c r="D12" s="16">
        <f t="shared" si="1"/>
        <v>-8.5311569273471832E-4</v>
      </c>
    </row>
    <row r="13" spans="1:6" x14ac:dyDescent="0.2">
      <c r="A13" s="11">
        <v>0.26949074074074075</v>
      </c>
      <c r="B13" s="13">
        <v>9989962.7688900009</v>
      </c>
      <c r="C13" s="13">
        <f t="shared" si="0"/>
        <v>9999998.996276889</v>
      </c>
      <c r="D13" s="16">
        <f t="shared" si="1"/>
        <v>7.915794849395752E-4</v>
      </c>
    </row>
    <row r="14" spans="1:6" x14ac:dyDescent="0.2">
      <c r="A14" s="11">
        <v>0.26954861111111111</v>
      </c>
      <c r="B14" s="13">
        <v>9989958.4248699993</v>
      </c>
      <c r="C14" s="13">
        <f t="shared" si="0"/>
        <v>9999998.9958424866</v>
      </c>
      <c r="D14" s="16">
        <f t="shared" si="1"/>
        <v>4.3440237641334534E-4</v>
      </c>
    </row>
    <row r="15" spans="1:6" x14ac:dyDescent="0.2">
      <c r="A15" s="11">
        <v>0.26961805555555557</v>
      </c>
      <c r="B15" s="13">
        <v>9989956.1372800004</v>
      </c>
      <c r="C15" s="13">
        <f t="shared" si="0"/>
        <v>9999998.9956137277</v>
      </c>
      <c r="D15" s="16">
        <f t="shared" si="1"/>
        <v>2.2875890135765076E-4</v>
      </c>
    </row>
    <row r="16" spans="1:6" x14ac:dyDescent="0.2">
      <c r="A16" s="11">
        <v>0.26967592592592593</v>
      </c>
      <c r="B16" s="13">
        <v>9989958.5100100003</v>
      </c>
      <c r="C16" s="13">
        <f t="shared" si="0"/>
        <v>9999998.9958510008</v>
      </c>
      <c r="D16" s="16">
        <f t="shared" si="1"/>
        <v>-2.3727305233478546E-4</v>
      </c>
    </row>
    <row r="17" spans="1:4" x14ac:dyDescent="0.2">
      <c r="A17" s="11">
        <v>0.26973379629629629</v>
      </c>
      <c r="B17" s="13">
        <v>9989957.0801500008</v>
      </c>
      <c r="C17" s="13">
        <f t="shared" si="0"/>
        <v>9999998.9957080148</v>
      </c>
      <c r="D17" s="16">
        <f t="shared" si="1"/>
        <v>1.4298595488071442E-4</v>
      </c>
    </row>
    <row r="18" spans="1:4" x14ac:dyDescent="0.2">
      <c r="A18" s="11">
        <v>0.26979166666666665</v>
      </c>
      <c r="B18" s="13">
        <v>9989960.8764399998</v>
      </c>
      <c r="C18" s="13">
        <f t="shared" si="0"/>
        <v>9999998.9960876442</v>
      </c>
      <c r="D18" s="16">
        <f t="shared" si="1"/>
        <v>-3.7962943315505981E-4</v>
      </c>
    </row>
    <row r="19" spans="1:4" x14ac:dyDescent="0.2">
      <c r="A19" s="11">
        <v>0.26984953703703701</v>
      </c>
      <c r="B19" s="13">
        <v>9989965.7327999994</v>
      </c>
      <c r="C19" s="13">
        <f t="shared" si="0"/>
        <v>9999998.9965732805</v>
      </c>
      <c r="D19" s="16">
        <f t="shared" si="1"/>
        <v>-4.8563629388809204E-4</v>
      </c>
    </row>
    <row r="20" spans="1:4" x14ac:dyDescent="0.2">
      <c r="A20" s="11">
        <v>0.26990740740740743</v>
      </c>
      <c r="B20" s="13">
        <v>9989962.7236899994</v>
      </c>
      <c r="C20" s="13">
        <f t="shared" si="0"/>
        <v>9999998.9962723684</v>
      </c>
      <c r="D20" s="16">
        <f t="shared" si="1"/>
        <v>3.0091218650341034E-4</v>
      </c>
    </row>
    <row r="21" spans="1:4" x14ac:dyDescent="0.2">
      <c r="A21" s="11">
        <v>0.26996527777777779</v>
      </c>
      <c r="B21" s="13">
        <v>9989952.1191399992</v>
      </c>
      <c r="C21" s="13">
        <f t="shared" si="0"/>
        <v>9999998.9952119142</v>
      </c>
      <c r="D21" s="16">
        <f t="shared" si="1"/>
        <v>1.0604541748762131E-3</v>
      </c>
    </row>
    <row r="22" spans="1:4" x14ac:dyDescent="0.2">
      <c r="A22" s="11">
        <v>0.27002314814814815</v>
      </c>
      <c r="B22" s="13">
        <v>9989950.2833600007</v>
      </c>
      <c r="C22" s="13">
        <f t="shared" si="0"/>
        <v>9999998.9950283356</v>
      </c>
      <c r="D22" s="16">
        <f t="shared" si="1"/>
        <v>1.8357858061790466E-4</v>
      </c>
    </row>
    <row r="23" spans="1:4" x14ac:dyDescent="0.2">
      <c r="A23" s="11">
        <v>0.27008101851851851</v>
      </c>
      <c r="B23" s="13">
        <v>9989943.4426899999</v>
      </c>
      <c r="C23" s="13">
        <f t="shared" si="0"/>
        <v>9999998.9943442699</v>
      </c>
      <c r="D23" s="16">
        <f t="shared" si="1"/>
        <v>6.8406574428081512E-4</v>
      </c>
    </row>
    <row r="24" spans="1:4" x14ac:dyDescent="0.2">
      <c r="A24" s="11">
        <v>0.27013888888888887</v>
      </c>
      <c r="B24" s="13">
        <v>9989952.9505800009</v>
      </c>
      <c r="C24" s="13">
        <f t="shared" si="0"/>
        <v>9999998.9952950589</v>
      </c>
      <c r="D24" s="16">
        <f t="shared" si="1"/>
        <v>-9.5078907907009125E-4</v>
      </c>
    </row>
    <row r="25" spans="1:4" x14ac:dyDescent="0.2">
      <c r="A25" s="11">
        <v>0.27019675925925929</v>
      </c>
      <c r="B25" s="13">
        <v>9989948.3698399998</v>
      </c>
      <c r="C25" s="13">
        <f t="shared" si="0"/>
        <v>9999998.9948369842</v>
      </c>
      <c r="D25" s="16">
        <f t="shared" si="1"/>
        <v>4.5807473361492157E-4</v>
      </c>
    </row>
    <row r="26" spans="1:4" x14ac:dyDescent="0.2">
      <c r="A26" s="11">
        <v>0.27025462962962959</v>
      </c>
      <c r="B26" s="13">
        <v>9989941.6911699995</v>
      </c>
      <c r="C26" s="13">
        <f t="shared" si="0"/>
        <v>9999998.9941691179</v>
      </c>
      <c r="D26" s="16">
        <f t="shared" si="1"/>
        <v>6.6786631941795349E-4</v>
      </c>
    </row>
    <row r="27" spans="1:4" x14ac:dyDescent="0.2">
      <c r="A27" s="11">
        <v>0.27031250000000001</v>
      </c>
      <c r="B27" s="13">
        <v>9989941.2261200007</v>
      </c>
      <c r="C27" s="13">
        <f t="shared" si="0"/>
        <v>9999998.9941226114</v>
      </c>
      <c r="D27" s="16">
        <f t="shared" si="1"/>
        <v>4.6506524085998535E-5</v>
      </c>
    </row>
    <row r="28" spans="1:4" x14ac:dyDescent="0.2">
      <c r="A28" s="11">
        <v>0.27037037037037037</v>
      </c>
      <c r="B28" s="13">
        <v>9989944.69716</v>
      </c>
      <c r="C28" s="13">
        <f t="shared" si="0"/>
        <v>9999998.9944697171</v>
      </c>
      <c r="D28" s="16">
        <f t="shared" si="1"/>
        <v>-3.4710578620433807E-4</v>
      </c>
    </row>
    <row r="29" spans="1:4" x14ac:dyDescent="0.2">
      <c r="A29" s="11">
        <v>0.27042824074074073</v>
      </c>
      <c r="B29" s="13">
        <v>9989945.1467599999</v>
      </c>
      <c r="C29" s="13">
        <f t="shared" si="0"/>
        <v>9999998.9945146758</v>
      </c>
      <c r="D29" s="16">
        <f t="shared" si="1"/>
        <v>-4.495866596698761E-5</v>
      </c>
    </row>
    <row r="30" spans="1:4" x14ac:dyDescent="0.2">
      <c r="A30" s="11">
        <v>0.27049768518518519</v>
      </c>
      <c r="B30" s="13">
        <v>9989947.7377400007</v>
      </c>
      <c r="C30" s="13">
        <f t="shared" si="0"/>
        <v>9999998.9947737753</v>
      </c>
      <c r="D30" s="16">
        <f t="shared" si="1"/>
        <v>-2.5909952819347382E-4</v>
      </c>
    </row>
    <row r="31" spans="1:4" x14ac:dyDescent="0.2">
      <c r="A31" s="11">
        <v>0.27055555555555555</v>
      </c>
      <c r="B31" s="13">
        <v>9989947.7305699997</v>
      </c>
      <c r="C31" s="13">
        <f t="shared" si="0"/>
        <v>9999998.9947730564</v>
      </c>
      <c r="D31" s="16">
        <f t="shared" si="1"/>
        <v>7.1898102760314941E-7</v>
      </c>
    </row>
    <row r="32" spans="1:4" x14ac:dyDescent="0.2">
      <c r="A32" s="11">
        <v>0.27061342592592591</v>
      </c>
      <c r="B32" s="13">
        <v>9989941.11204</v>
      </c>
      <c r="C32" s="13">
        <f t="shared" si="0"/>
        <v>9999998.9941112045</v>
      </c>
      <c r="D32" s="16">
        <f t="shared" si="1"/>
        <v>6.6185183823108673E-4</v>
      </c>
    </row>
    <row r="33" spans="1:4" x14ac:dyDescent="0.2">
      <c r="A33" s="11">
        <v>0.27067129629629633</v>
      </c>
      <c r="B33" s="13">
        <v>9989939.8593600001</v>
      </c>
      <c r="C33" s="13">
        <f t="shared" si="0"/>
        <v>9999998.993985936</v>
      </c>
      <c r="D33" s="16">
        <f t="shared" si="1"/>
        <v>1.2526847422122955E-4</v>
      </c>
    </row>
    <row r="34" spans="1:4" x14ac:dyDescent="0.2">
      <c r="A34" s="11">
        <v>0.27072916666666663</v>
      </c>
      <c r="B34" s="13">
        <v>9989935.2265499998</v>
      </c>
      <c r="C34" s="13">
        <f t="shared" si="0"/>
        <v>9999998.9935226552</v>
      </c>
      <c r="D34" s="16">
        <f t="shared" si="1"/>
        <v>4.6328082680702209E-4</v>
      </c>
    </row>
    <row r="35" spans="1:4" x14ac:dyDescent="0.2">
      <c r="A35" s="11">
        <v>0.27078703703703705</v>
      </c>
      <c r="B35" s="13">
        <v>9989927.2323400006</v>
      </c>
      <c r="C35" s="13">
        <f t="shared" si="0"/>
        <v>9999998.992723234</v>
      </c>
      <c r="D35" s="16">
        <f t="shared" si="1"/>
        <v>7.9942122101783752E-4</v>
      </c>
    </row>
    <row r="36" spans="1:4" x14ac:dyDescent="0.2">
      <c r="A36" s="11">
        <v>0.27084490740740741</v>
      </c>
      <c r="B36" s="13">
        <v>9989928.3609699998</v>
      </c>
      <c r="C36" s="13">
        <f t="shared" si="0"/>
        <v>9999998.9928360973</v>
      </c>
      <c r="D36" s="16">
        <f t="shared" si="1"/>
        <v>-1.1286325752735138E-4</v>
      </c>
    </row>
    <row r="37" spans="1:4" x14ac:dyDescent="0.2">
      <c r="A37" s="11">
        <v>0.27090277777777777</v>
      </c>
      <c r="B37" s="13">
        <v>9989925.7073500007</v>
      </c>
      <c r="C37" s="13">
        <f t="shared" si="0"/>
        <v>9999998.9925707355</v>
      </c>
      <c r="D37" s="16">
        <f t="shared" si="1"/>
        <v>2.6536174118518829E-4</v>
      </c>
    </row>
    <row r="38" spans="1:4" x14ac:dyDescent="0.2">
      <c r="A38" s="11">
        <v>0.27096064814814813</v>
      </c>
      <c r="B38" s="13">
        <v>9989926.3970599994</v>
      </c>
      <c r="C38" s="13">
        <f t="shared" si="0"/>
        <v>9999998.9926397055</v>
      </c>
      <c r="D38" s="16">
        <f t="shared" si="1"/>
        <v>-6.8970024585723877E-5</v>
      </c>
    </row>
    <row r="41" spans="1:4" x14ac:dyDescent="0.2">
      <c r="B41" s="3" t="s">
        <v>15</v>
      </c>
      <c r="C41" s="13">
        <f>IF(ISBLANK(ZNNbMesures),,AVERAGE(_9ZNPlageFReelle))</f>
        <v>9999998.9949760865</v>
      </c>
    </row>
    <row r="43" spans="1:4" x14ac:dyDescent="0.2">
      <c r="B43" s="3" t="s">
        <v>17</v>
      </c>
      <c r="C43" s="5" t="e">
        <f ca="1">[1]!Cal_variance(SUMSQ(_9ZNDeltaF),ZNNbMesures,ZNFreqMoyReel)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3E-11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EFF1-FFD7-402D-BA9B-1F7053F51C0D}">
  <sheetPr codeName="ModeleMesure8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3.9999999999999998E-11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49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2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50</v>
      </c>
    </row>
    <row r="9" spans="1:6" x14ac:dyDescent="0.2">
      <c r="A9" s="11">
        <v>0.26848379629629632</v>
      </c>
      <c r="B9" s="13">
        <v>9989993.8406099994</v>
      </c>
      <c r="C9" s="13">
        <f t="shared" ref="C9:C38" si="0">IF(ISBLANK(ZNCoeffMult),B9,(((B9-10000000)/(POWER(10,ZNCoeffMult)*10000000))+1)*ZNValFNominale)</f>
        <v>9999998.9993840605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0.26850694444444445</v>
      </c>
      <c r="B10" s="13">
        <v>9989996.7105599996</v>
      </c>
      <c r="C10" s="13">
        <f t="shared" si="0"/>
        <v>9999998.999671055</v>
      </c>
      <c r="D10" s="16">
        <f t="shared" ref="D10:D38" si="1">C9-C10</f>
        <v>-2.8699450194835663E-4</v>
      </c>
    </row>
    <row r="11" spans="1:6" x14ac:dyDescent="0.2">
      <c r="A11" s="11">
        <v>0.26853009259259258</v>
      </c>
      <c r="B11" s="13">
        <v>9989998.2571699992</v>
      </c>
      <c r="C11" s="13">
        <f t="shared" si="0"/>
        <v>9999998.999825716</v>
      </c>
      <c r="D11" s="16">
        <f t="shared" si="1"/>
        <v>-1.5466101467609406E-4</v>
      </c>
    </row>
    <row r="12" spans="1:6" x14ac:dyDescent="0.2">
      <c r="A12" s="11">
        <v>0.26855324074074077</v>
      </c>
      <c r="B12" s="13">
        <v>9989991.7166000009</v>
      </c>
      <c r="C12" s="13">
        <f t="shared" si="0"/>
        <v>9999998.9991716594</v>
      </c>
      <c r="D12" s="16">
        <f t="shared" si="1"/>
        <v>6.5405666828155518E-4</v>
      </c>
    </row>
    <row r="13" spans="1:6" x14ac:dyDescent="0.2">
      <c r="A13" s="11">
        <v>0.26857638888888891</v>
      </c>
      <c r="B13" s="13">
        <v>9989997.3945499994</v>
      </c>
      <c r="C13" s="13">
        <f t="shared" si="0"/>
        <v>9999998.9997394551</v>
      </c>
      <c r="D13" s="16">
        <f t="shared" si="1"/>
        <v>-5.6779570877552032E-4</v>
      </c>
    </row>
    <row r="14" spans="1:6" x14ac:dyDescent="0.2">
      <c r="A14" s="11">
        <v>0.26859953703703704</v>
      </c>
      <c r="B14" s="13">
        <v>9989998.8677600008</v>
      </c>
      <c r="C14" s="13">
        <f t="shared" si="0"/>
        <v>9999998.9998867754</v>
      </c>
      <c r="D14" s="16">
        <f t="shared" si="1"/>
        <v>-1.4732033014297485E-4</v>
      </c>
    </row>
    <row r="15" spans="1:6" x14ac:dyDescent="0.2">
      <c r="A15" s="11">
        <v>0.26862268518518517</v>
      </c>
      <c r="B15" s="13">
        <v>9990000.5615100004</v>
      </c>
      <c r="C15" s="13">
        <f t="shared" si="0"/>
        <v>9999999.0000561513</v>
      </c>
      <c r="D15" s="16">
        <f t="shared" si="1"/>
        <v>-1.6937591135501862E-4</v>
      </c>
    </row>
    <row r="16" spans="1:6" x14ac:dyDescent="0.2">
      <c r="A16" s="11">
        <v>0.26864583333333331</v>
      </c>
      <c r="B16" s="13">
        <v>9989995.06415</v>
      </c>
      <c r="C16" s="13">
        <f t="shared" si="0"/>
        <v>9999998.9995064158</v>
      </c>
      <c r="D16" s="16">
        <f t="shared" si="1"/>
        <v>5.4973550140857697E-4</v>
      </c>
    </row>
    <row r="17" spans="1:4" x14ac:dyDescent="0.2">
      <c r="A17" s="11">
        <v>0.26866898148148149</v>
      </c>
      <c r="B17" s="13">
        <v>9989992.8024899997</v>
      </c>
      <c r="C17" s="13">
        <f t="shared" si="0"/>
        <v>9999998.9992802478</v>
      </c>
      <c r="D17" s="16">
        <f t="shared" si="1"/>
        <v>2.261679619550705E-4</v>
      </c>
    </row>
    <row r="18" spans="1:4" x14ac:dyDescent="0.2">
      <c r="A18" s="11">
        <v>0.26870370370370372</v>
      </c>
      <c r="B18" s="13">
        <v>9989992.5695300009</v>
      </c>
      <c r="C18" s="13">
        <f t="shared" si="0"/>
        <v>9999998.9992569536</v>
      </c>
      <c r="D18" s="16">
        <f t="shared" si="1"/>
        <v>2.3294240236282349E-5</v>
      </c>
    </row>
    <row r="19" spans="1:4" x14ac:dyDescent="0.2">
      <c r="A19" s="11">
        <v>0.26872685185185186</v>
      </c>
      <c r="B19" s="13">
        <v>9989991.5611300003</v>
      </c>
      <c r="C19" s="13">
        <f t="shared" si="0"/>
        <v>9999998.9991561137</v>
      </c>
      <c r="D19" s="16">
        <f t="shared" si="1"/>
        <v>1.0083988308906555E-4</v>
      </c>
    </row>
    <row r="20" spans="1:4" x14ac:dyDescent="0.2">
      <c r="A20" s="11">
        <v>0.26874999999999999</v>
      </c>
      <c r="B20" s="13">
        <v>9989993.0869299993</v>
      </c>
      <c r="C20" s="13">
        <f t="shared" si="0"/>
        <v>9999998.9993086942</v>
      </c>
      <c r="D20" s="16">
        <f t="shared" si="1"/>
        <v>-1.5258044004440308E-4</v>
      </c>
    </row>
    <row r="21" spans="1:4" x14ac:dyDescent="0.2">
      <c r="A21" s="11">
        <v>0.26877314814814818</v>
      </c>
      <c r="B21" s="13">
        <v>9989986.9890700001</v>
      </c>
      <c r="C21" s="13">
        <f t="shared" si="0"/>
        <v>9999998.998698907</v>
      </c>
      <c r="D21" s="16">
        <f t="shared" si="1"/>
        <v>6.0978718101978302E-4</v>
      </c>
    </row>
    <row r="22" spans="1:4" x14ac:dyDescent="0.2">
      <c r="A22" s="11">
        <v>0.26879629629629631</v>
      </c>
      <c r="B22" s="13">
        <v>9989985.7258400004</v>
      </c>
      <c r="C22" s="13">
        <f t="shared" si="0"/>
        <v>9999998.9985725842</v>
      </c>
      <c r="D22" s="16">
        <f t="shared" si="1"/>
        <v>1.2632273137569427E-4</v>
      </c>
    </row>
    <row r="23" spans="1:4" x14ac:dyDescent="0.2">
      <c r="A23" s="11">
        <v>0.26881944444444444</v>
      </c>
      <c r="B23" s="13">
        <v>9989983.8089300003</v>
      </c>
      <c r="C23" s="13">
        <f t="shared" si="0"/>
        <v>9999998.9983808938</v>
      </c>
      <c r="D23" s="16">
        <f t="shared" si="1"/>
        <v>1.9169040024280548E-4</v>
      </c>
    </row>
    <row r="24" spans="1:4" x14ac:dyDescent="0.2">
      <c r="A24" s="11">
        <v>0.26884259259259258</v>
      </c>
      <c r="B24" s="13">
        <v>9989986.1034900006</v>
      </c>
      <c r="C24" s="13">
        <f t="shared" si="0"/>
        <v>9999998.9986103494</v>
      </c>
      <c r="D24" s="16">
        <f t="shared" si="1"/>
        <v>-2.2945553064346313E-4</v>
      </c>
    </row>
    <row r="25" spans="1:4" x14ac:dyDescent="0.2">
      <c r="A25" s="11">
        <v>0.26886574074074071</v>
      </c>
      <c r="B25" s="13">
        <v>9989985.4476800002</v>
      </c>
      <c r="C25" s="13">
        <f t="shared" si="0"/>
        <v>9999998.9985447675</v>
      </c>
      <c r="D25" s="16">
        <f t="shared" si="1"/>
        <v>6.5581873059272766E-5</v>
      </c>
    </row>
    <row r="26" spans="1:4" x14ac:dyDescent="0.2">
      <c r="A26" s="11">
        <v>0.2688888888888889</v>
      </c>
      <c r="B26" s="13">
        <v>9989979.0777599998</v>
      </c>
      <c r="C26" s="13">
        <f t="shared" si="0"/>
        <v>9999998.9979077764</v>
      </c>
      <c r="D26" s="16">
        <f t="shared" si="1"/>
        <v>6.3699111342430115E-4</v>
      </c>
    </row>
    <row r="27" spans="1:4" x14ac:dyDescent="0.2">
      <c r="A27" s="11">
        <v>0.26891203703703703</v>
      </c>
      <c r="B27" s="13">
        <v>9989976.9046299998</v>
      </c>
      <c r="C27" s="13">
        <f t="shared" si="0"/>
        <v>9999998.9976904634</v>
      </c>
      <c r="D27" s="16">
        <f t="shared" si="1"/>
        <v>2.1731294691562653E-4</v>
      </c>
    </row>
    <row r="28" spans="1:4" x14ac:dyDescent="0.2">
      <c r="A28" s="11">
        <v>0.26893518518518517</v>
      </c>
      <c r="B28" s="13">
        <v>9989974.5737299994</v>
      </c>
      <c r="C28" s="13">
        <f t="shared" si="0"/>
        <v>9999998.9974573739</v>
      </c>
      <c r="D28" s="16">
        <f t="shared" si="1"/>
        <v>2.3308955132961273E-4</v>
      </c>
    </row>
    <row r="29" spans="1:4" x14ac:dyDescent="0.2">
      <c r="A29" s="11">
        <v>0.26895833333333335</v>
      </c>
      <c r="B29" s="13">
        <v>9989973.4113699999</v>
      </c>
      <c r="C29" s="13">
        <f t="shared" si="0"/>
        <v>9999998.9973411374</v>
      </c>
      <c r="D29" s="16">
        <f t="shared" si="1"/>
        <v>1.1623650789260864E-4</v>
      </c>
    </row>
    <row r="30" spans="1:4" x14ac:dyDescent="0.2">
      <c r="A30" s="11">
        <v>0.26898148148148149</v>
      </c>
      <c r="B30" s="13">
        <v>9989977.6119400002</v>
      </c>
      <c r="C30" s="13">
        <f t="shared" si="0"/>
        <v>9999998.9977611937</v>
      </c>
      <c r="D30" s="16">
        <f t="shared" si="1"/>
        <v>-4.2005628347396851E-4</v>
      </c>
    </row>
    <row r="31" spans="1:4" x14ac:dyDescent="0.2">
      <c r="A31" s="11">
        <v>0.26900462962962962</v>
      </c>
      <c r="B31" s="13">
        <v>9989974.06415</v>
      </c>
      <c r="C31" s="13">
        <f t="shared" si="0"/>
        <v>9999998.9974064156</v>
      </c>
      <c r="D31" s="16">
        <f t="shared" si="1"/>
        <v>3.5477802157402039E-4</v>
      </c>
    </row>
    <row r="32" spans="1:4" x14ac:dyDescent="0.2">
      <c r="A32" s="11">
        <v>0.26902777777777781</v>
      </c>
      <c r="B32" s="13">
        <v>9989971.4957500007</v>
      </c>
      <c r="C32" s="13">
        <f t="shared" si="0"/>
        <v>9999998.9971495755</v>
      </c>
      <c r="D32" s="16">
        <f t="shared" si="1"/>
        <v>2.5684013962745667E-4</v>
      </c>
    </row>
    <row r="33" spans="1:4" x14ac:dyDescent="0.2">
      <c r="A33" s="11">
        <v>0.26906249999999998</v>
      </c>
      <c r="B33" s="13">
        <v>9989979.0822000001</v>
      </c>
      <c r="C33" s="13">
        <f t="shared" si="0"/>
        <v>9999998.9979082197</v>
      </c>
      <c r="D33" s="16">
        <f t="shared" si="1"/>
        <v>-7.5864419341087341E-4</v>
      </c>
    </row>
    <row r="34" spans="1:4" x14ac:dyDescent="0.2">
      <c r="A34" s="11">
        <v>0.26908564814814812</v>
      </c>
      <c r="B34" s="13">
        <v>9989972.5236099996</v>
      </c>
      <c r="C34" s="13">
        <f t="shared" si="0"/>
        <v>9999998.99725236</v>
      </c>
      <c r="D34" s="16">
        <f t="shared" si="1"/>
        <v>6.5585970878601074E-4</v>
      </c>
    </row>
    <row r="35" spans="1:4" x14ac:dyDescent="0.2">
      <c r="A35" s="11">
        <v>0.2691087962962963</v>
      </c>
      <c r="B35" s="13">
        <v>9989972.6336100008</v>
      </c>
      <c r="C35" s="13">
        <f t="shared" si="0"/>
        <v>9999998.9972633608</v>
      </c>
      <c r="D35" s="16">
        <f t="shared" si="1"/>
        <v>-1.1000782251358032E-5</v>
      </c>
    </row>
    <row r="36" spans="1:4" x14ac:dyDescent="0.2">
      <c r="A36" s="11">
        <v>0.26913194444444444</v>
      </c>
      <c r="B36" s="13">
        <v>9989972.8276300002</v>
      </c>
      <c r="C36" s="13">
        <f t="shared" si="0"/>
        <v>9999998.9972827621</v>
      </c>
      <c r="D36" s="16">
        <f t="shared" si="1"/>
        <v>-1.9401311874389648E-5</v>
      </c>
    </row>
    <row r="37" spans="1:4" x14ac:dyDescent="0.2">
      <c r="A37" s="11">
        <v>0.26915509259259257</v>
      </c>
      <c r="B37" s="13">
        <v>9989968.6500000004</v>
      </c>
      <c r="C37" s="13">
        <f t="shared" si="0"/>
        <v>9999998.9968650006</v>
      </c>
      <c r="D37" s="16">
        <f t="shared" si="1"/>
        <v>4.1776150465011597E-4</v>
      </c>
    </row>
    <row r="38" spans="1:4" x14ac:dyDescent="0.2">
      <c r="A38" s="11">
        <v>0.26917824074074076</v>
      </c>
      <c r="B38" s="13">
        <v>9989967.90962</v>
      </c>
      <c r="C38" s="13">
        <f t="shared" si="0"/>
        <v>9999998.9967909623</v>
      </c>
      <c r="D38" s="16">
        <f t="shared" si="1"/>
        <v>7.4038282036781311E-5</v>
      </c>
    </row>
    <row r="41" spans="1:4" x14ac:dyDescent="0.2">
      <c r="B41" s="3" t="s">
        <v>15</v>
      </c>
      <c r="C41" s="13">
        <f>IF(ISBLANK(ZNNbMesures),,AVERAGE(_8ZNPlageFReelle))</f>
        <v>9999998.9984375779</v>
      </c>
    </row>
    <row r="43" spans="1:4" x14ac:dyDescent="0.2">
      <c r="B43" s="3" t="s">
        <v>17</v>
      </c>
      <c r="C43" s="5" t="e">
        <f ca="1">[1]!Cal_variance(SUMSQ(_8ZNDeltaF),ZNNbMesures,ZNFreqMoyReel)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3.9999999999999998E-11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56A7-7BBE-4552-9DC7-C4930E7F0EA4}">
  <sheetPr codeName="ModeleMesure7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8.3999999999999994E-11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48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1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100</v>
      </c>
    </row>
    <row r="9" spans="1:6" x14ac:dyDescent="0.2">
      <c r="A9" s="11">
        <v>0.26807870370370374</v>
      </c>
      <c r="B9" s="13">
        <v>9990014.2352200001</v>
      </c>
      <c r="C9" s="13">
        <f t="shared" ref="C9:C38" si="0">IF(ISBLANK(ZNCoeffMult),B9,(((B9-10000000)/(POWER(10,ZNCoeffMult)*10000000))+1)*ZNValFNominale)</f>
        <v>9999999.001423521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0.26809027777777777</v>
      </c>
      <c r="B10" s="13">
        <v>9990006.4871699996</v>
      </c>
      <c r="C10" s="13">
        <f t="shared" si="0"/>
        <v>9999999.0006487165</v>
      </c>
      <c r="D10" s="16">
        <f t="shared" ref="D10:D38" si="1">C9-C10</f>
        <v>7.748045027256012E-4</v>
      </c>
    </row>
    <row r="11" spans="1:6" x14ac:dyDescent="0.2">
      <c r="A11" s="11">
        <v>0.26810185185185187</v>
      </c>
      <c r="B11" s="13">
        <v>9990009.7490299996</v>
      </c>
      <c r="C11" s="13">
        <f t="shared" si="0"/>
        <v>9999999.0009749029</v>
      </c>
      <c r="D11" s="16">
        <f t="shared" si="1"/>
        <v>-3.261864185333252E-4</v>
      </c>
    </row>
    <row r="12" spans="1:6" x14ac:dyDescent="0.2">
      <c r="A12" s="11">
        <v>0.26811342592592591</v>
      </c>
      <c r="B12" s="13">
        <v>9990003.9804599993</v>
      </c>
      <c r="C12" s="13">
        <f t="shared" si="0"/>
        <v>9999999.0003980454</v>
      </c>
      <c r="D12" s="16">
        <f t="shared" si="1"/>
        <v>5.7685747742652893E-4</v>
      </c>
    </row>
    <row r="13" spans="1:6" x14ac:dyDescent="0.2">
      <c r="A13" s="11">
        <v>0.268125</v>
      </c>
      <c r="B13" s="13">
        <v>9990009.1104799993</v>
      </c>
      <c r="C13" s="13">
        <f t="shared" si="0"/>
        <v>9999999.0009110477</v>
      </c>
      <c r="D13" s="16">
        <f t="shared" si="1"/>
        <v>-5.1300227642059326E-4</v>
      </c>
    </row>
    <row r="14" spans="1:6" x14ac:dyDescent="0.2">
      <c r="A14" s="11">
        <v>0.26814814814814814</v>
      </c>
      <c r="B14" s="13">
        <v>9990015.6080799997</v>
      </c>
      <c r="C14" s="13">
        <f t="shared" si="0"/>
        <v>9999999.0015608072</v>
      </c>
      <c r="D14" s="16">
        <f t="shared" si="1"/>
        <v>-6.4975954592227936E-4</v>
      </c>
    </row>
    <row r="15" spans="1:6" x14ac:dyDescent="0.2">
      <c r="A15" s="11">
        <v>0.26815972222222223</v>
      </c>
      <c r="B15" s="13">
        <v>9990010.4715299997</v>
      </c>
      <c r="C15" s="13">
        <f t="shared" si="0"/>
        <v>9999999.001047153</v>
      </c>
      <c r="D15" s="16">
        <f t="shared" si="1"/>
        <v>5.136542022228241E-4</v>
      </c>
    </row>
    <row r="16" spans="1:6" x14ac:dyDescent="0.2">
      <c r="A16" s="11">
        <v>0.26817129629629627</v>
      </c>
      <c r="B16" s="13">
        <v>9990015.7263999991</v>
      </c>
      <c r="C16" s="13">
        <f t="shared" si="0"/>
        <v>9999999.0015726406</v>
      </c>
      <c r="D16" s="16">
        <f t="shared" si="1"/>
        <v>-5.2548758685588837E-4</v>
      </c>
    </row>
    <row r="17" spans="1:4" x14ac:dyDescent="0.2">
      <c r="A17" s="11">
        <v>0.26818287037037036</v>
      </c>
      <c r="B17" s="13">
        <v>9990015.3424200006</v>
      </c>
      <c r="C17" s="13">
        <f t="shared" si="0"/>
        <v>9999999.0015342422</v>
      </c>
      <c r="D17" s="16">
        <f t="shared" si="1"/>
        <v>3.8398429751396179E-5</v>
      </c>
    </row>
    <row r="18" spans="1:4" x14ac:dyDescent="0.2">
      <c r="A18" s="11">
        <v>0.26819444444444446</v>
      </c>
      <c r="B18" s="13">
        <v>9990007.9464999996</v>
      </c>
      <c r="C18" s="13">
        <f t="shared" si="0"/>
        <v>9999999.000794651</v>
      </c>
      <c r="D18" s="16">
        <f t="shared" si="1"/>
        <v>7.3959119617938995E-4</v>
      </c>
    </row>
    <row r="19" spans="1:4" x14ac:dyDescent="0.2">
      <c r="A19" s="11">
        <v>0.2682060185185185</v>
      </c>
      <c r="B19" s="13">
        <v>9990017.8508400004</v>
      </c>
      <c r="C19" s="13">
        <f t="shared" si="0"/>
        <v>9999999.0017850846</v>
      </c>
      <c r="D19" s="16">
        <f t="shared" si="1"/>
        <v>-9.9043361842632294E-4</v>
      </c>
    </row>
    <row r="20" spans="1:4" x14ac:dyDescent="0.2">
      <c r="A20" s="11">
        <v>0.26821759259259259</v>
      </c>
      <c r="B20" s="13">
        <v>9990019.8056700006</v>
      </c>
      <c r="C20" s="13">
        <f t="shared" si="0"/>
        <v>9999999.0019805674</v>
      </c>
      <c r="D20" s="16">
        <f t="shared" si="1"/>
        <v>-1.9548274576663971E-4</v>
      </c>
    </row>
    <row r="21" spans="1:4" x14ac:dyDescent="0.2">
      <c r="A21" s="11">
        <v>0.26822916666666669</v>
      </c>
      <c r="B21" s="13">
        <v>9990011.7169700004</v>
      </c>
      <c r="C21" s="13">
        <f t="shared" si="0"/>
        <v>9999999.0011716969</v>
      </c>
      <c r="D21" s="16">
        <f t="shared" si="1"/>
        <v>8.0887041985988617E-4</v>
      </c>
    </row>
    <row r="22" spans="1:4" x14ac:dyDescent="0.2">
      <c r="A22" s="11">
        <v>0.26824074074074072</v>
      </c>
      <c r="B22" s="13">
        <v>9990007.6973499991</v>
      </c>
      <c r="C22" s="13">
        <f t="shared" si="0"/>
        <v>9999999.0007697344</v>
      </c>
      <c r="D22" s="16">
        <f t="shared" si="1"/>
        <v>4.0196254849433899E-4</v>
      </c>
    </row>
    <row r="23" spans="1:4" x14ac:dyDescent="0.2">
      <c r="A23" s="11">
        <v>0.26825231481481482</v>
      </c>
      <c r="B23" s="13">
        <v>9990009.4597399998</v>
      </c>
      <c r="C23" s="13">
        <f t="shared" si="0"/>
        <v>9999999.0009459741</v>
      </c>
      <c r="D23" s="16">
        <f t="shared" si="1"/>
        <v>-1.7623975872993469E-4</v>
      </c>
    </row>
    <row r="24" spans="1:4" x14ac:dyDescent="0.2">
      <c r="A24" s="11">
        <v>0.26826388888888891</v>
      </c>
      <c r="B24" s="13">
        <v>9990012.4128300007</v>
      </c>
      <c r="C24" s="13">
        <f t="shared" si="0"/>
        <v>9999999.0012412835</v>
      </c>
      <c r="D24" s="16">
        <f t="shared" si="1"/>
        <v>-2.9530934989452362E-4</v>
      </c>
    </row>
    <row r="25" spans="1:4" x14ac:dyDescent="0.2">
      <c r="A25" s="11">
        <v>0.26827546296296295</v>
      </c>
      <c r="B25" s="13">
        <v>9990017.3374400008</v>
      </c>
      <c r="C25" s="13">
        <f t="shared" si="0"/>
        <v>9999999.0017337445</v>
      </c>
      <c r="D25" s="16">
        <f t="shared" si="1"/>
        <v>-4.9246102571487427E-4</v>
      </c>
    </row>
    <row r="26" spans="1:4" x14ac:dyDescent="0.2">
      <c r="A26" s="11">
        <v>0.26828703703703705</v>
      </c>
      <c r="B26" s="13">
        <v>9990015.19276</v>
      </c>
      <c r="C26" s="13">
        <f t="shared" si="0"/>
        <v>9999999.0015192758</v>
      </c>
      <c r="D26" s="16">
        <f t="shared" si="1"/>
        <v>2.1446868777275085E-4</v>
      </c>
    </row>
    <row r="27" spans="1:4" x14ac:dyDescent="0.2">
      <c r="A27" s="11">
        <v>0.26829861111111114</v>
      </c>
      <c r="B27" s="13">
        <v>9990006.9331899993</v>
      </c>
      <c r="C27" s="13">
        <f t="shared" si="0"/>
        <v>9999999.0006933194</v>
      </c>
      <c r="D27" s="16">
        <f t="shared" si="1"/>
        <v>8.2595646381378174E-4</v>
      </c>
    </row>
    <row r="28" spans="1:4" x14ac:dyDescent="0.2">
      <c r="A28" s="11">
        <v>0.26831018518518518</v>
      </c>
      <c r="B28" s="13">
        <v>9990004.9787000008</v>
      </c>
      <c r="C28" s="13">
        <f t="shared" si="0"/>
        <v>9999999.0004978701</v>
      </c>
      <c r="D28" s="16">
        <f t="shared" si="1"/>
        <v>1.9544921815395355E-4</v>
      </c>
    </row>
    <row r="29" spans="1:4" x14ac:dyDescent="0.2">
      <c r="A29" s="11">
        <v>0.26832175925925927</v>
      </c>
      <c r="B29" s="13">
        <v>9990012.1203499995</v>
      </c>
      <c r="C29" s="13">
        <f t="shared" si="0"/>
        <v>9999999.0012120362</v>
      </c>
      <c r="D29" s="16">
        <f t="shared" si="1"/>
        <v>-7.1416608989238739E-4</v>
      </c>
    </row>
    <row r="30" spans="1:4" x14ac:dyDescent="0.2">
      <c r="A30" s="11">
        <v>0.26833333333333337</v>
      </c>
      <c r="B30" s="13">
        <v>9990015.8950699996</v>
      </c>
      <c r="C30" s="13">
        <f t="shared" si="0"/>
        <v>9999999.0015895069</v>
      </c>
      <c r="D30" s="16">
        <f t="shared" si="1"/>
        <v>-3.7747062742710114E-4</v>
      </c>
    </row>
    <row r="31" spans="1:4" x14ac:dyDescent="0.2">
      <c r="A31" s="11">
        <v>0.26834490740740741</v>
      </c>
      <c r="B31" s="13">
        <v>9990015.1741400007</v>
      </c>
      <c r="C31" s="13">
        <f t="shared" si="0"/>
        <v>9999999.001517415</v>
      </c>
      <c r="D31" s="16">
        <f t="shared" si="1"/>
        <v>7.2091817855834961E-5</v>
      </c>
    </row>
    <row r="32" spans="1:4" x14ac:dyDescent="0.2">
      <c r="A32" s="11">
        <v>0.26835648148148145</v>
      </c>
      <c r="B32" s="13">
        <v>9990011.8630299997</v>
      </c>
      <c r="C32" s="13">
        <f t="shared" si="0"/>
        <v>9999999.0011863019</v>
      </c>
      <c r="D32" s="16">
        <f t="shared" si="1"/>
        <v>3.3111311495304108E-4</v>
      </c>
    </row>
    <row r="33" spans="1:4" x14ac:dyDescent="0.2">
      <c r="A33" s="11">
        <v>0.26836805555555554</v>
      </c>
      <c r="B33" s="13">
        <v>9990008.8331700005</v>
      </c>
      <c r="C33" s="13">
        <f t="shared" si="0"/>
        <v>9999999.0008833166</v>
      </c>
      <c r="D33" s="16">
        <f t="shared" si="1"/>
        <v>3.0298531055450439E-4</v>
      </c>
    </row>
    <row r="34" spans="1:4" x14ac:dyDescent="0.2">
      <c r="A34" s="11">
        <v>0.26837962962962963</v>
      </c>
      <c r="B34" s="13">
        <v>9990002.9116500001</v>
      </c>
      <c r="C34" s="13">
        <f t="shared" si="0"/>
        <v>9999999.000291165</v>
      </c>
      <c r="D34" s="16">
        <f t="shared" si="1"/>
        <v>5.9215165674686432E-4</v>
      </c>
    </row>
    <row r="35" spans="1:4" x14ac:dyDescent="0.2">
      <c r="A35" s="11">
        <v>0.26840277777777777</v>
      </c>
      <c r="B35" s="13">
        <v>9990008.56917</v>
      </c>
      <c r="C35" s="13">
        <f t="shared" si="0"/>
        <v>9999999.0008569174</v>
      </c>
      <c r="D35" s="16">
        <f t="shared" si="1"/>
        <v>-5.6575238704681396E-4</v>
      </c>
    </row>
    <row r="36" spans="1:4" x14ac:dyDescent="0.2">
      <c r="A36" s="11">
        <v>0.26841435185185186</v>
      </c>
      <c r="B36" s="13">
        <v>9990009.1107800007</v>
      </c>
      <c r="C36" s="13">
        <f t="shared" si="0"/>
        <v>9999999.0009110775</v>
      </c>
      <c r="D36" s="16">
        <f t="shared" si="1"/>
        <v>-5.4160133004188538E-5</v>
      </c>
    </row>
    <row r="37" spans="1:4" x14ac:dyDescent="0.2">
      <c r="A37" s="11">
        <v>0.2684259259259259</v>
      </c>
      <c r="B37" s="13">
        <v>9990001.5645599999</v>
      </c>
      <c r="C37" s="13">
        <f t="shared" si="0"/>
        <v>9999999.0001564566</v>
      </c>
      <c r="D37" s="16">
        <f t="shared" si="1"/>
        <v>7.5462087988853455E-4</v>
      </c>
    </row>
    <row r="38" spans="1:4" x14ac:dyDescent="0.2">
      <c r="A38" s="11">
        <v>0.2684375</v>
      </c>
      <c r="B38" s="13">
        <v>9990003.1512899995</v>
      </c>
      <c r="C38" s="13">
        <f t="shared" si="0"/>
        <v>9999999.0003151279</v>
      </c>
      <c r="D38" s="16">
        <f t="shared" si="1"/>
        <v>-1.5867128968238831E-4</v>
      </c>
    </row>
    <row r="41" spans="1:4" x14ac:dyDescent="0.2">
      <c r="B41" s="3" t="s">
        <v>15</v>
      </c>
      <c r="C41" s="13">
        <f>IF(ISBLANK(ZNNbMesures),,AVERAGE(_7ZNPlageFReelle))</f>
        <v>9999999.0010707881</v>
      </c>
    </row>
    <row r="43" spans="1:4" x14ac:dyDescent="0.2">
      <c r="B43" s="3" t="s">
        <v>17</v>
      </c>
      <c r="C43" s="5" t="e">
        <f ca="1">[1]!Cal_variance(SUMSQ(_7ZNDeltaF),ZNNbMesures,ZNFreqMoyReel)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8.3999999999999994E-11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356A-44D0-4296-A3EF-7090FAA43DBB}">
  <sheetPr codeName="ModeleMesure6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1.5E-10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47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0.5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200</v>
      </c>
    </row>
    <row r="9" spans="1:6" x14ac:dyDescent="0.2">
      <c r="A9" s="11">
        <v>0.26784722222222224</v>
      </c>
      <c r="B9" s="13">
        <v>9990023.3311000001</v>
      </c>
      <c r="C9" s="13">
        <f t="shared" ref="C9:C38" si="0">IF(ISBLANK(ZNCoeffMult),B9,(((B9-10000000)/(POWER(10,ZNCoeffMult)*10000000))+1)*ZNValFNominale)</f>
        <v>9999999.0023331102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0.26785879629629633</v>
      </c>
      <c r="B10" s="13">
        <v>9990029.2142999992</v>
      </c>
      <c r="C10" s="13">
        <f t="shared" si="0"/>
        <v>9999999.0029214304</v>
      </c>
      <c r="D10" s="16">
        <f t="shared" ref="D10:D38" si="1">C9-C10</f>
        <v>-5.8832019567489624E-4</v>
      </c>
    </row>
    <row r="11" spans="1:6" x14ac:dyDescent="0.2">
      <c r="A11" s="11">
        <v>0.26787037037037037</v>
      </c>
      <c r="B11" s="13">
        <v>9990028.4495000001</v>
      </c>
      <c r="C11" s="13">
        <f t="shared" si="0"/>
        <v>9999999.0028449502</v>
      </c>
      <c r="D11" s="16">
        <f t="shared" si="1"/>
        <v>7.6480209827423096E-5</v>
      </c>
    </row>
    <row r="12" spans="1:6" x14ac:dyDescent="0.2">
      <c r="A12" s="11">
        <v>0.26787037037037037</v>
      </c>
      <c r="B12" s="13">
        <v>9990019.9030000009</v>
      </c>
      <c r="C12" s="13">
        <f t="shared" si="0"/>
        <v>9999999.0019902997</v>
      </c>
      <c r="D12" s="16">
        <f t="shared" si="1"/>
        <v>8.5465051233768463E-4</v>
      </c>
    </row>
    <row r="13" spans="1:6" x14ac:dyDescent="0.2">
      <c r="A13" s="11">
        <v>0.26788194444444441</v>
      </c>
      <c r="B13" s="13">
        <v>9990040.0950000007</v>
      </c>
      <c r="C13" s="13">
        <f t="shared" si="0"/>
        <v>9999999.0040095001</v>
      </c>
      <c r="D13" s="16">
        <f t="shared" si="1"/>
        <v>-2.019200474023819E-3</v>
      </c>
    </row>
    <row r="14" spans="1:6" x14ac:dyDescent="0.2">
      <c r="A14" s="11">
        <v>0.26788194444444441</v>
      </c>
      <c r="B14" s="13">
        <v>9990029.3771000002</v>
      </c>
      <c r="C14" s="13">
        <f t="shared" si="0"/>
        <v>9999999.0029377099</v>
      </c>
      <c r="D14" s="16">
        <f t="shared" si="1"/>
        <v>1.0717902332544327E-3</v>
      </c>
    </row>
    <row r="15" spans="1:6" x14ac:dyDescent="0.2">
      <c r="A15" s="11">
        <v>0.2678935185185185</v>
      </c>
      <c r="B15" s="13">
        <v>9990025.8248999994</v>
      </c>
      <c r="C15" s="13">
        <f t="shared" si="0"/>
        <v>9999999.0025824904</v>
      </c>
      <c r="D15" s="16">
        <f t="shared" si="1"/>
        <v>3.5521946847438812E-4</v>
      </c>
    </row>
    <row r="16" spans="1:6" x14ac:dyDescent="0.2">
      <c r="A16" s="11">
        <v>0.2678935185185185</v>
      </c>
      <c r="B16" s="13">
        <v>9990025.4785999991</v>
      </c>
      <c r="C16" s="13">
        <f t="shared" si="0"/>
        <v>9999999.0025478601</v>
      </c>
      <c r="D16" s="16">
        <f t="shared" si="1"/>
        <v>3.4630298614501953E-5</v>
      </c>
    </row>
    <row r="17" spans="1:4" x14ac:dyDescent="0.2">
      <c r="A17" s="11">
        <v>0.2679050925925926</v>
      </c>
      <c r="B17" s="13">
        <v>9990037.3573000003</v>
      </c>
      <c r="C17" s="13">
        <f t="shared" si="0"/>
        <v>9999999.0037357304</v>
      </c>
      <c r="D17" s="16">
        <f t="shared" si="1"/>
        <v>-1.1878702789545059E-3</v>
      </c>
    </row>
    <row r="18" spans="1:4" x14ac:dyDescent="0.2">
      <c r="A18" s="11">
        <v>0.26791666666666664</v>
      </c>
      <c r="B18" s="13">
        <v>9990026.7377000004</v>
      </c>
      <c r="C18" s="13">
        <f t="shared" si="0"/>
        <v>9999999.0026737694</v>
      </c>
      <c r="D18" s="16">
        <f t="shared" si="1"/>
        <v>1.0619610548019409E-3</v>
      </c>
    </row>
    <row r="19" spans="1:4" x14ac:dyDescent="0.2">
      <c r="A19" s="11">
        <v>0.26791666666666664</v>
      </c>
      <c r="B19" s="13">
        <v>9990018.7652000003</v>
      </c>
      <c r="C19" s="13">
        <f t="shared" si="0"/>
        <v>9999999.00187652</v>
      </c>
      <c r="D19" s="16">
        <f t="shared" si="1"/>
        <v>7.9724937677383423E-4</v>
      </c>
    </row>
    <row r="20" spans="1:4" x14ac:dyDescent="0.2">
      <c r="A20" s="11">
        <v>0.26792824074074073</v>
      </c>
      <c r="B20" s="13">
        <v>9990037.2962999996</v>
      </c>
      <c r="C20" s="13">
        <f t="shared" si="0"/>
        <v>9999999.0037296303</v>
      </c>
      <c r="D20" s="16">
        <f t="shared" si="1"/>
        <v>-1.8531102687120438E-3</v>
      </c>
    </row>
    <row r="21" spans="1:4" x14ac:dyDescent="0.2">
      <c r="A21" s="11">
        <v>0.26792824074074073</v>
      </c>
      <c r="B21" s="13">
        <v>9990029.3956000004</v>
      </c>
      <c r="C21" s="13">
        <f t="shared" si="0"/>
        <v>9999999.0029395595</v>
      </c>
      <c r="D21" s="16">
        <f t="shared" si="1"/>
        <v>7.9007074236869812E-4</v>
      </c>
    </row>
    <row r="22" spans="1:4" x14ac:dyDescent="0.2">
      <c r="A22" s="11">
        <v>0.26793981481481483</v>
      </c>
      <c r="B22" s="13">
        <v>9990026.9299999997</v>
      </c>
      <c r="C22" s="13">
        <f t="shared" si="0"/>
        <v>9999999.0026929993</v>
      </c>
      <c r="D22" s="16">
        <f t="shared" si="1"/>
        <v>2.4656020104885101E-4</v>
      </c>
    </row>
    <row r="23" spans="1:4" x14ac:dyDescent="0.2">
      <c r="A23" s="11">
        <v>0.26793981481481483</v>
      </c>
      <c r="B23" s="13">
        <v>9990026.9329000004</v>
      </c>
      <c r="C23" s="13">
        <f t="shared" si="0"/>
        <v>9999999.0026932899</v>
      </c>
      <c r="D23" s="16">
        <f t="shared" si="1"/>
        <v>-2.905726432800293E-7</v>
      </c>
    </row>
    <row r="24" spans="1:4" x14ac:dyDescent="0.2">
      <c r="A24" s="11">
        <v>0.26795138888888886</v>
      </c>
      <c r="B24" s="13">
        <v>9990031.6806000005</v>
      </c>
      <c r="C24" s="13">
        <f t="shared" si="0"/>
        <v>9999999.0031680595</v>
      </c>
      <c r="D24" s="16">
        <f t="shared" si="1"/>
        <v>-4.7476962208747864E-4</v>
      </c>
    </row>
    <row r="25" spans="1:4" x14ac:dyDescent="0.2">
      <c r="A25" s="11">
        <v>0.26796296296296296</v>
      </c>
      <c r="B25" s="13">
        <v>9990030.1798</v>
      </c>
      <c r="C25" s="13">
        <f t="shared" si="0"/>
        <v>9999999.0030179806</v>
      </c>
      <c r="D25" s="16">
        <f t="shared" si="1"/>
        <v>1.500789076089859E-4</v>
      </c>
    </row>
    <row r="26" spans="1:4" x14ac:dyDescent="0.2">
      <c r="A26" s="11">
        <v>0.26796296296296296</v>
      </c>
      <c r="B26" s="13">
        <v>9990024.1247000005</v>
      </c>
      <c r="C26" s="13">
        <f t="shared" si="0"/>
        <v>9999999.0024124701</v>
      </c>
      <c r="D26" s="16">
        <f t="shared" si="1"/>
        <v>6.0551054775714874E-4</v>
      </c>
    </row>
    <row r="27" spans="1:4" x14ac:dyDescent="0.2">
      <c r="A27" s="11">
        <v>0.26797453703703705</v>
      </c>
      <c r="B27" s="13">
        <v>9990022.5475999992</v>
      </c>
      <c r="C27" s="13">
        <f t="shared" si="0"/>
        <v>9999999.0022547599</v>
      </c>
      <c r="D27" s="16">
        <f t="shared" si="1"/>
        <v>1.5771016478538513E-4</v>
      </c>
    </row>
    <row r="28" spans="1:4" x14ac:dyDescent="0.2">
      <c r="A28" s="11">
        <v>0.26797453703703705</v>
      </c>
      <c r="B28" s="13">
        <v>9990020.4035</v>
      </c>
      <c r="C28" s="13">
        <f t="shared" si="0"/>
        <v>9999999.0020403489</v>
      </c>
      <c r="D28" s="16">
        <f t="shared" si="1"/>
        <v>2.1441094577312469E-4</v>
      </c>
    </row>
    <row r="29" spans="1:4" x14ac:dyDescent="0.2">
      <c r="A29" s="11">
        <v>0.26798611111111109</v>
      </c>
      <c r="B29" s="13">
        <v>9990011.0605999995</v>
      </c>
      <c r="C29" s="13">
        <f t="shared" si="0"/>
        <v>9999999.001106061</v>
      </c>
      <c r="D29" s="16">
        <f t="shared" si="1"/>
        <v>9.342879056930542E-4</v>
      </c>
    </row>
    <row r="30" spans="1:4" x14ac:dyDescent="0.2">
      <c r="A30" s="11">
        <v>0.26798611111111109</v>
      </c>
      <c r="B30" s="13">
        <v>9990020.8636000007</v>
      </c>
      <c r="C30" s="13">
        <f t="shared" si="0"/>
        <v>9999999.00208636</v>
      </c>
      <c r="D30" s="16">
        <f t="shared" si="1"/>
        <v>-9.802989661693573E-4</v>
      </c>
    </row>
    <row r="31" spans="1:4" x14ac:dyDescent="0.2">
      <c r="A31" s="11">
        <v>0.26799768518518519</v>
      </c>
      <c r="B31" s="13">
        <v>9990025.5780999996</v>
      </c>
      <c r="C31" s="13">
        <f t="shared" si="0"/>
        <v>9999999.0025578104</v>
      </c>
      <c r="D31" s="16">
        <f t="shared" si="1"/>
        <v>-4.7145038843154907E-4</v>
      </c>
    </row>
    <row r="32" spans="1:4" x14ac:dyDescent="0.2">
      <c r="A32" s="11">
        <v>0.26799768518518519</v>
      </c>
      <c r="B32" s="13">
        <v>9990014.8004999999</v>
      </c>
      <c r="C32" s="13">
        <f t="shared" si="0"/>
        <v>9999999.0014800504</v>
      </c>
      <c r="D32" s="16">
        <f t="shared" si="1"/>
        <v>1.0777600109577179E-3</v>
      </c>
    </row>
    <row r="33" spans="1:4" x14ac:dyDescent="0.2">
      <c r="A33" s="11">
        <v>0.26800925925925928</v>
      </c>
      <c r="B33" s="13">
        <v>9990012.5535000004</v>
      </c>
      <c r="C33" s="13">
        <f t="shared" si="0"/>
        <v>9999999.0012553502</v>
      </c>
      <c r="D33" s="16">
        <f t="shared" si="1"/>
        <v>2.247001975774765E-4</v>
      </c>
    </row>
    <row r="34" spans="1:4" x14ac:dyDescent="0.2">
      <c r="A34" s="11">
        <v>0.26802083333333332</v>
      </c>
      <c r="B34" s="13">
        <v>9990021.9057</v>
      </c>
      <c r="C34" s="13">
        <f t="shared" si="0"/>
        <v>9999999.0021905713</v>
      </c>
      <c r="D34" s="16">
        <f t="shared" si="1"/>
        <v>-9.3522109091281891E-4</v>
      </c>
    </row>
    <row r="35" spans="1:4" x14ac:dyDescent="0.2">
      <c r="A35" s="11">
        <v>0.26802083333333332</v>
      </c>
      <c r="B35" s="13">
        <v>9990005.7703000009</v>
      </c>
      <c r="C35" s="13">
        <f t="shared" si="0"/>
        <v>9999999.0005770307</v>
      </c>
      <c r="D35" s="16">
        <f t="shared" si="1"/>
        <v>1.6135405749082565E-3</v>
      </c>
    </row>
    <row r="36" spans="1:4" x14ac:dyDescent="0.2">
      <c r="A36" s="11">
        <v>0.26803240740740741</v>
      </c>
      <c r="B36" s="13">
        <v>9990013.5495999996</v>
      </c>
      <c r="C36" s="13">
        <f t="shared" si="0"/>
        <v>9999999.0013549607</v>
      </c>
      <c r="D36" s="16">
        <f t="shared" si="1"/>
        <v>-7.7793002128601074E-4</v>
      </c>
    </row>
    <row r="37" spans="1:4" x14ac:dyDescent="0.2">
      <c r="A37" s="11">
        <v>0.26803240740740741</v>
      </c>
      <c r="B37" s="13">
        <v>9990027.7019999996</v>
      </c>
      <c r="C37" s="13">
        <f t="shared" si="0"/>
        <v>9999999.0027702004</v>
      </c>
      <c r="D37" s="16">
        <f t="shared" si="1"/>
        <v>-1.4152396470308304E-3</v>
      </c>
    </row>
    <row r="38" spans="1:4" x14ac:dyDescent="0.2">
      <c r="A38" s="11">
        <v>0.26804398148148151</v>
      </c>
      <c r="B38" s="13">
        <v>9990014.2194999997</v>
      </c>
      <c r="C38" s="13">
        <f t="shared" si="0"/>
        <v>9999999.0014219489</v>
      </c>
      <c r="D38" s="16">
        <f t="shared" si="1"/>
        <v>1.3482514768838882E-3</v>
      </c>
    </row>
    <row r="41" spans="1:4" x14ac:dyDescent="0.2">
      <c r="B41" s="3" t="s">
        <v>15</v>
      </c>
      <c r="C41" s="13">
        <f>IF(ISBLANK(ZNNbMesures),,AVERAGE(_6ZNPlageFReelle))</f>
        <v>9999999.0024067573</v>
      </c>
    </row>
    <row r="43" spans="1:4" x14ac:dyDescent="0.2">
      <c r="B43" s="3" t="s">
        <v>17</v>
      </c>
      <c r="C43" s="5" t="e">
        <f ca="1">[1]!Cal_variance(SUMSQ(_6ZNDeltaF),ZNNbMesures,ZNFreqMoyReel)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1.5E-10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EF22-42B3-470D-A4A6-F7CB503A5C83}">
  <sheetPr codeName="ModeleMesure5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3.7999999999999998E-10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46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0.2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500</v>
      </c>
    </row>
    <row r="9" spans="1:6" x14ac:dyDescent="0.2">
      <c r="A9" s="11">
        <v>0.26773148148148146</v>
      </c>
      <c r="B9" s="13">
        <v>9990007.9484000001</v>
      </c>
      <c r="C9" s="13">
        <f t="shared" ref="C9:C38" si="0">IF(ISBLANK(ZNCoeffMult),B9,(((B9-10000000)/(POWER(10,ZNCoeffMult)*10000000))+1)*ZNValFNominale)</f>
        <v>9999999.000794841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0.26773148148148146</v>
      </c>
      <c r="B10" s="13">
        <v>9990012.3418000005</v>
      </c>
      <c r="C10" s="13">
        <f t="shared" si="0"/>
        <v>9999999.0012341794</v>
      </c>
      <c r="D10" s="16">
        <f t="shared" ref="D10:D38" si="1">C9-C10</f>
        <v>-4.3933838605880737E-4</v>
      </c>
    </row>
    <row r="11" spans="1:6" x14ac:dyDescent="0.2">
      <c r="A11" s="11">
        <v>0.26773148148148146</v>
      </c>
      <c r="B11" s="13">
        <v>9989996.5402000006</v>
      </c>
      <c r="C11" s="13">
        <f t="shared" si="0"/>
        <v>9999998.9996540193</v>
      </c>
      <c r="D11" s="16">
        <f t="shared" si="1"/>
        <v>1.5801601111888885E-3</v>
      </c>
    </row>
    <row r="12" spans="1:6" x14ac:dyDescent="0.2">
      <c r="A12" s="11">
        <v>0.26774305555555555</v>
      </c>
      <c r="B12" s="13">
        <v>9990011.7893000003</v>
      </c>
      <c r="C12" s="13">
        <f t="shared" si="0"/>
        <v>9999999.0011789296</v>
      </c>
      <c r="D12" s="16">
        <f t="shared" si="1"/>
        <v>-1.5249103307723999E-3</v>
      </c>
    </row>
    <row r="13" spans="1:6" x14ac:dyDescent="0.2">
      <c r="A13" s="11">
        <v>0.26774305555555555</v>
      </c>
      <c r="B13" s="13">
        <v>9990003.0591000002</v>
      </c>
      <c r="C13" s="13">
        <f t="shared" si="0"/>
        <v>9999999.0003059097</v>
      </c>
      <c r="D13" s="16">
        <f t="shared" si="1"/>
        <v>8.7301991879940033E-4</v>
      </c>
    </row>
    <row r="14" spans="1:6" x14ac:dyDescent="0.2">
      <c r="A14" s="11">
        <v>0.26774305555555555</v>
      </c>
      <c r="B14" s="13">
        <v>9990013.9500999991</v>
      </c>
      <c r="C14" s="13">
        <f t="shared" si="0"/>
        <v>9999999.0013950095</v>
      </c>
      <c r="D14" s="16">
        <f t="shared" si="1"/>
        <v>-1.089099794626236E-3</v>
      </c>
    </row>
    <row r="15" spans="1:6" x14ac:dyDescent="0.2">
      <c r="A15" s="11">
        <v>0.26774305555555555</v>
      </c>
      <c r="B15" s="13">
        <v>9989997.4031000007</v>
      </c>
      <c r="C15" s="13">
        <f t="shared" si="0"/>
        <v>9999998.99974031</v>
      </c>
      <c r="D15" s="16">
        <f t="shared" si="1"/>
        <v>1.654699444770813E-3</v>
      </c>
    </row>
    <row r="16" spans="1:6" x14ac:dyDescent="0.2">
      <c r="A16" s="11">
        <v>0.26775462962962965</v>
      </c>
      <c r="B16" s="13">
        <v>9990011.9514000006</v>
      </c>
      <c r="C16" s="13">
        <f t="shared" si="0"/>
        <v>9999999.0011951402</v>
      </c>
      <c r="D16" s="16">
        <f t="shared" si="1"/>
        <v>-1.4548301696777344E-3</v>
      </c>
    </row>
    <row r="17" spans="1:4" x14ac:dyDescent="0.2">
      <c r="A17" s="11">
        <v>0.26775462962962965</v>
      </c>
      <c r="B17" s="13">
        <v>9990042.9979999997</v>
      </c>
      <c r="C17" s="13">
        <f t="shared" si="0"/>
        <v>9999999.0042998008</v>
      </c>
      <c r="D17" s="16">
        <f t="shared" si="1"/>
        <v>-3.1046606600284576E-3</v>
      </c>
    </row>
    <row r="18" spans="1:4" x14ac:dyDescent="0.2">
      <c r="A18" s="11">
        <v>0.26775462962962965</v>
      </c>
      <c r="B18" s="13">
        <v>9990034.8986000009</v>
      </c>
      <c r="C18" s="13">
        <f t="shared" si="0"/>
        <v>9999999.0034898594</v>
      </c>
      <c r="D18" s="16">
        <f t="shared" si="1"/>
        <v>8.0994144082069397E-4</v>
      </c>
    </row>
    <row r="19" spans="1:4" x14ac:dyDescent="0.2">
      <c r="A19" s="11">
        <v>0.26775462962962965</v>
      </c>
      <c r="B19" s="13">
        <v>9990047.4026999995</v>
      </c>
      <c r="C19" s="13">
        <f t="shared" si="0"/>
        <v>9999999.0047402699</v>
      </c>
      <c r="D19" s="16">
        <f t="shared" si="1"/>
        <v>-1.2504104524850845E-3</v>
      </c>
    </row>
    <row r="20" spans="1:4" x14ac:dyDescent="0.2">
      <c r="A20" s="11">
        <v>0.26776620370370369</v>
      </c>
      <c r="B20" s="13">
        <v>9989997.8568999991</v>
      </c>
      <c r="C20" s="13">
        <f t="shared" si="0"/>
        <v>9999998.9997856896</v>
      </c>
      <c r="D20" s="16">
        <f t="shared" si="1"/>
        <v>4.9545802175998688E-3</v>
      </c>
    </row>
    <row r="21" spans="1:4" x14ac:dyDescent="0.2">
      <c r="A21" s="11">
        <v>0.26776620370370369</v>
      </c>
      <c r="B21" s="13">
        <v>9990042.1140999999</v>
      </c>
      <c r="C21" s="13">
        <f t="shared" si="0"/>
        <v>9999999.004211409</v>
      </c>
      <c r="D21" s="16">
        <f t="shared" si="1"/>
        <v>-4.4257193803787231E-3</v>
      </c>
    </row>
    <row r="22" spans="1:4" x14ac:dyDescent="0.2">
      <c r="A22" s="11">
        <v>0.26776620370370369</v>
      </c>
      <c r="B22" s="13">
        <v>9990031.2759000007</v>
      </c>
      <c r="C22" s="13">
        <f t="shared" si="0"/>
        <v>9999999.0031275898</v>
      </c>
      <c r="D22" s="16">
        <f t="shared" si="1"/>
        <v>1.0838191956281662E-3</v>
      </c>
    </row>
    <row r="23" spans="1:4" x14ac:dyDescent="0.2">
      <c r="A23" s="11">
        <v>0.26777777777777778</v>
      </c>
      <c r="B23" s="13">
        <v>9990038.2106999997</v>
      </c>
      <c r="C23" s="13">
        <f t="shared" si="0"/>
        <v>9999999.0038210694</v>
      </c>
      <c r="D23" s="16">
        <f t="shared" si="1"/>
        <v>-6.9347955286502838E-4</v>
      </c>
    </row>
    <row r="24" spans="1:4" x14ac:dyDescent="0.2">
      <c r="A24" s="11">
        <v>0.26777777777777778</v>
      </c>
      <c r="B24" s="13">
        <v>9990009.3803000003</v>
      </c>
      <c r="C24" s="13">
        <f t="shared" si="0"/>
        <v>9999999.00093803</v>
      </c>
      <c r="D24" s="16">
        <f t="shared" si="1"/>
        <v>2.8830394148826599E-3</v>
      </c>
    </row>
    <row r="25" spans="1:4" x14ac:dyDescent="0.2">
      <c r="A25" s="11">
        <v>0.26777777777777778</v>
      </c>
      <c r="B25" s="13">
        <v>9990048.6307999995</v>
      </c>
      <c r="C25" s="13">
        <f t="shared" si="0"/>
        <v>9999999.0048630796</v>
      </c>
      <c r="D25" s="16">
        <f t="shared" si="1"/>
        <v>-3.925049677491188E-3</v>
      </c>
    </row>
    <row r="26" spans="1:4" x14ac:dyDescent="0.2">
      <c r="A26" s="11">
        <v>0.26777777777777778</v>
      </c>
      <c r="B26" s="13">
        <v>9990026.0566000007</v>
      </c>
      <c r="C26" s="13">
        <f t="shared" si="0"/>
        <v>9999999.0026056599</v>
      </c>
      <c r="D26" s="16">
        <f t="shared" si="1"/>
        <v>2.2574197500944138E-3</v>
      </c>
    </row>
    <row r="27" spans="1:4" x14ac:dyDescent="0.2">
      <c r="A27" s="11">
        <v>0.26778935185185188</v>
      </c>
      <c r="B27" s="13">
        <v>9990057.6107000001</v>
      </c>
      <c r="C27" s="13">
        <f t="shared" si="0"/>
        <v>9999999.0057610702</v>
      </c>
      <c r="D27" s="16">
        <f t="shared" si="1"/>
        <v>-3.1554102897644043E-3</v>
      </c>
    </row>
    <row r="28" spans="1:4" x14ac:dyDescent="0.2">
      <c r="A28" s="11">
        <v>0.26778935185185188</v>
      </c>
      <c r="B28" s="13">
        <v>9990029.7643999998</v>
      </c>
      <c r="C28" s="13">
        <f t="shared" si="0"/>
        <v>9999999.0029764399</v>
      </c>
      <c r="D28" s="16">
        <f t="shared" si="1"/>
        <v>2.7846302837133408E-3</v>
      </c>
    </row>
    <row r="29" spans="1:4" x14ac:dyDescent="0.2">
      <c r="A29" s="11">
        <v>0.26778935185185188</v>
      </c>
      <c r="B29" s="13">
        <v>9990035.4570000004</v>
      </c>
      <c r="C29" s="13">
        <f t="shared" si="0"/>
        <v>9999999.0035456996</v>
      </c>
      <c r="D29" s="16">
        <f t="shared" si="1"/>
        <v>-5.6925974786281586E-4</v>
      </c>
    </row>
    <row r="30" spans="1:4" x14ac:dyDescent="0.2">
      <c r="A30" s="11">
        <v>0.26778935185185188</v>
      </c>
      <c r="B30" s="13">
        <v>9989999.8123000003</v>
      </c>
      <c r="C30" s="13">
        <f t="shared" si="0"/>
        <v>9999998.9999812301</v>
      </c>
      <c r="D30" s="16">
        <f t="shared" si="1"/>
        <v>3.5644695162773132E-3</v>
      </c>
    </row>
    <row r="31" spans="1:4" x14ac:dyDescent="0.2">
      <c r="A31" s="11">
        <v>0.26780092592592591</v>
      </c>
      <c r="B31" s="13">
        <v>9990008.7967000008</v>
      </c>
      <c r="C31" s="13">
        <f t="shared" si="0"/>
        <v>9999999.0008796696</v>
      </c>
      <c r="D31" s="16">
        <f t="shared" si="1"/>
        <v>-8.984394371509552E-4</v>
      </c>
    </row>
    <row r="32" spans="1:4" x14ac:dyDescent="0.2">
      <c r="A32" s="11">
        <v>0.26780092592592591</v>
      </c>
      <c r="B32" s="13">
        <v>9990020.9505000003</v>
      </c>
      <c r="C32" s="13">
        <f t="shared" si="0"/>
        <v>9999999.0020950511</v>
      </c>
      <c r="D32" s="16">
        <f t="shared" si="1"/>
        <v>-1.2153815478086472E-3</v>
      </c>
    </row>
    <row r="33" spans="1:4" x14ac:dyDescent="0.2">
      <c r="A33" s="11">
        <v>0.26780092592592591</v>
      </c>
      <c r="B33" s="13">
        <v>9989995.0807000007</v>
      </c>
      <c r="C33" s="13">
        <f t="shared" si="0"/>
        <v>9999998.9995080698</v>
      </c>
      <c r="D33" s="16">
        <f t="shared" si="1"/>
        <v>2.5869812816381454E-3</v>
      </c>
    </row>
    <row r="34" spans="1:4" x14ac:dyDescent="0.2">
      <c r="A34" s="11">
        <v>0.26781250000000001</v>
      </c>
      <c r="B34" s="13">
        <v>9989997.7809999995</v>
      </c>
      <c r="C34" s="13">
        <f t="shared" si="0"/>
        <v>9999998.9997780994</v>
      </c>
      <c r="D34" s="16">
        <f t="shared" si="1"/>
        <v>-2.7002952992916107E-4</v>
      </c>
    </row>
    <row r="35" spans="1:4" x14ac:dyDescent="0.2">
      <c r="A35" s="11">
        <v>0.26781250000000001</v>
      </c>
      <c r="B35" s="13">
        <v>9990030.6451999992</v>
      </c>
      <c r="C35" s="13">
        <f t="shared" si="0"/>
        <v>9999999.0030645207</v>
      </c>
      <c r="D35" s="16">
        <f t="shared" si="1"/>
        <v>-3.2864212989807129E-3</v>
      </c>
    </row>
    <row r="36" spans="1:4" x14ac:dyDescent="0.2">
      <c r="A36" s="11">
        <v>0.26781250000000001</v>
      </c>
      <c r="B36" s="13">
        <v>9990033.9035</v>
      </c>
      <c r="C36" s="13">
        <f t="shared" si="0"/>
        <v>9999999.0033903494</v>
      </c>
      <c r="D36" s="16">
        <f t="shared" si="1"/>
        <v>-3.2582879066467285E-4</v>
      </c>
    </row>
    <row r="37" spans="1:4" x14ac:dyDescent="0.2">
      <c r="A37" s="11">
        <v>0.26781250000000001</v>
      </c>
      <c r="B37" s="13">
        <v>9990021.1688999999</v>
      </c>
      <c r="C37" s="13">
        <f t="shared" si="0"/>
        <v>9999999.0021168906</v>
      </c>
      <c r="D37" s="16">
        <f t="shared" si="1"/>
        <v>1.2734588235616684E-3</v>
      </c>
    </row>
    <row r="38" spans="1:4" x14ac:dyDescent="0.2">
      <c r="A38" s="11">
        <v>0.2678240740740741</v>
      </c>
      <c r="B38" s="13">
        <v>9990059.9342</v>
      </c>
      <c r="C38" s="13">
        <f t="shared" si="0"/>
        <v>9999999.0059934203</v>
      </c>
      <c r="D38" s="16">
        <f t="shared" si="1"/>
        <v>-3.8765296339988708E-3</v>
      </c>
    </row>
    <row r="41" spans="1:4" x14ac:dyDescent="0.2">
      <c r="B41" s="3" t="s">
        <v>15</v>
      </c>
      <c r="C41" s="13">
        <f>IF(ISBLANK(ZNNbMesures),,AVERAGE(_5ZNPlageFReelle))</f>
        <v>9999999.0022157133</v>
      </c>
    </row>
    <row r="43" spans="1:4" x14ac:dyDescent="0.2">
      <c r="B43" s="3" t="s">
        <v>17</v>
      </c>
      <c r="C43" s="5" t="e">
        <f ca="1">[1]!Cal_variance(SUMSQ(_5ZNDeltaF),ZNNbMesures,ZNFreqMoyReel)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3.7999999999999998E-10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6092-67E7-4BC6-87EB-0C7216F04C82}">
  <sheetPr codeName="ModeleMesure4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6.5000000000000003E-10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45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0.1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1000</v>
      </c>
    </row>
    <row r="9" spans="1:6" x14ac:dyDescent="0.2">
      <c r="A9" s="11">
        <v>0.26765046296296297</v>
      </c>
      <c r="B9" s="13">
        <v>9990081.6357000005</v>
      </c>
      <c r="C9" s="13">
        <f t="shared" ref="C9:C38" si="0">IF(ISBLANK(ZNCoeffMult),B9,(((B9-10000000)/(POWER(10,ZNCoeffMult)*10000000))+1)*ZNValFNominale)</f>
        <v>9999999.0081635695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0.26765046296296297</v>
      </c>
      <c r="B10" s="13">
        <v>9990033.0881999992</v>
      </c>
      <c r="C10" s="13">
        <f t="shared" si="0"/>
        <v>9999999.0033088196</v>
      </c>
      <c r="D10" s="16">
        <f t="shared" ref="D10:D38" si="1">C9-C10</f>
        <v>4.8547498881816864E-3</v>
      </c>
    </row>
    <row r="11" spans="1:6" x14ac:dyDescent="0.2">
      <c r="A11" s="11">
        <v>0.26765046296296297</v>
      </c>
      <c r="B11" s="13">
        <v>9990054.4761999995</v>
      </c>
      <c r="C11" s="13">
        <f t="shared" si="0"/>
        <v>9999999.0054476187</v>
      </c>
      <c r="D11" s="16">
        <f t="shared" si="1"/>
        <v>-2.1387990564107895E-3</v>
      </c>
    </row>
    <row r="12" spans="1:6" x14ac:dyDescent="0.2">
      <c r="A12" s="11">
        <v>0.26765046296296297</v>
      </c>
      <c r="B12" s="13">
        <v>9990059.4466999993</v>
      </c>
      <c r="C12" s="13">
        <f t="shared" si="0"/>
        <v>9999999.0059446692</v>
      </c>
      <c r="D12" s="16">
        <f t="shared" si="1"/>
        <v>-4.9705058336257935E-4</v>
      </c>
    </row>
    <row r="13" spans="1:6" x14ac:dyDescent="0.2">
      <c r="A13" s="11">
        <v>0.267662037037037</v>
      </c>
      <c r="B13" s="13">
        <v>9990039.9936999995</v>
      </c>
      <c r="C13" s="13">
        <f t="shared" si="0"/>
        <v>9999999.0039993711</v>
      </c>
      <c r="D13" s="16">
        <f t="shared" si="1"/>
        <v>1.9452981650829315E-3</v>
      </c>
    </row>
    <row r="14" spans="1:6" x14ac:dyDescent="0.2">
      <c r="A14" s="11">
        <v>0.267662037037037</v>
      </c>
      <c r="B14" s="13">
        <v>9990002.9408</v>
      </c>
      <c r="C14" s="13">
        <f t="shared" si="0"/>
        <v>9999999.00029408</v>
      </c>
      <c r="D14" s="16">
        <f t="shared" si="1"/>
        <v>3.7052910774946213E-3</v>
      </c>
    </row>
    <row r="15" spans="1:6" x14ac:dyDescent="0.2">
      <c r="A15" s="11">
        <v>0.267662037037037</v>
      </c>
      <c r="B15" s="13">
        <v>9990023.7361999992</v>
      </c>
      <c r="C15" s="13">
        <f t="shared" si="0"/>
        <v>9999999.002373619</v>
      </c>
      <c r="D15" s="16">
        <f t="shared" si="1"/>
        <v>-2.0795390009880066E-3</v>
      </c>
    </row>
    <row r="16" spans="1:6" x14ac:dyDescent="0.2">
      <c r="A16" s="11">
        <v>0.267662037037037</v>
      </c>
      <c r="B16" s="13">
        <v>9990034.2706000004</v>
      </c>
      <c r="C16" s="13">
        <f t="shared" si="0"/>
        <v>9999999.0034270603</v>
      </c>
      <c r="D16" s="16">
        <f t="shared" si="1"/>
        <v>-1.0534413158893585E-3</v>
      </c>
    </row>
    <row r="17" spans="1:4" x14ac:dyDescent="0.2">
      <c r="A17" s="11">
        <v>0.267662037037037</v>
      </c>
      <c r="B17" s="13">
        <v>9990009.9397999998</v>
      </c>
      <c r="C17" s="13">
        <f t="shared" si="0"/>
        <v>9999999.0009939801</v>
      </c>
      <c r="D17" s="16">
        <f t="shared" si="1"/>
        <v>2.4330802261829376E-3</v>
      </c>
    </row>
    <row r="18" spans="1:4" x14ac:dyDescent="0.2">
      <c r="A18" s="11">
        <v>0.267662037037037</v>
      </c>
      <c r="B18" s="13">
        <v>9990019.2127999999</v>
      </c>
      <c r="C18" s="13">
        <f t="shared" si="0"/>
        <v>9999999.0019212812</v>
      </c>
      <c r="D18" s="16">
        <f t="shared" si="1"/>
        <v>-9.2730112373828888E-4</v>
      </c>
    </row>
    <row r="19" spans="1:4" x14ac:dyDescent="0.2">
      <c r="A19" s="11">
        <v>0.267662037037037</v>
      </c>
      <c r="B19" s="13">
        <v>9990075.2942999993</v>
      </c>
      <c r="C19" s="13">
        <f t="shared" si="0"/>
        <v>9999999.0075294301</v>
      </c>
      <c r="D19" s="16">
        <f t="shared" si="1"/>
        <v>-5.6081488728523254E-3</v>
      </c>
    </row>
    <row r="20" spans="1:4" x14ac:dyDescent="0.2">
      <c r="A20" s="11">
        <v>0.2676736111111111</v>
      </c>
      <c r="B20" s="13">
        <v>9990047.5143999998</v>
      </c>
      <c r="C20" s="13">
        <f t="shared" si="0"/>
        <v>9999999.0047514401</v>
      </c>
      <c r="D20" s="16">
        <f t="shared" si="1"/>
        <v>2.7779899537563324E-3</v>
      </c>
    </row>
    <row r="21" spans="1:4" x14ac:dyDescent="0.2">
      <c r="A21" s="11">
        <v>0.2676736111111111</v>
      </c>
      <c r="B21" s="13">
        <v>9990000.5494999997</v>
      </c>
      <c r="C21" s="13">
        <f t="shared" si="0"/>
        <v>9999999.0000549499</v>
      </c>
      <c r="D21" s="16">
        <f t="shared" si="1"/>
        <v>4.6964902430772781E-3</v>
      </c>
    </row>
    <row r="22" spans="1:4" x14ac:dyDescent="0.2">
      <c r="A22" s="11">
        <v>0.2676736111111111</v>
      </c>
      <c r="B22" s="13">
        <v>9990024.9005999994</v>
      </c>
      <c r="C22" s="13">
        <f t="shared" si="0"/>
        <v>9999999.0024900604</v>
      </c>
      <c r="D22" s="16">
        <f t="shared" si="1"/>
        <v>-2.4351105093955994E-3</v>
      </c>
    </row>
    <row r="23" spans="1:4" x14ac:dyDescent="0.2">
      <c r="A23" s="11">
        <v>0.2676736111111111</v>
      </c>
      <c r="B23" s="13">
        <v>9990023.7145000007</v>
      </c>
      <c r="C23" s="13">
        <f t="shared" si="0"/>
        <v>9999999.0023714509</v>
      </c>
      <c r="D23" s="16">
        <f t="shared" si="1"/>
        <v>1.1860951781272888E-4</v>
      </c>
    </row>
    <row r="24" spans="1:4" x14ac:dyDescent="0.2">
      <c r="A24" s="11">
        <v>0.2676736111111111</v>
      </c>
      <c r="B24" s="13">
        <v>9990009.5206000004</v>
      </c>
      <c r="C24" s="13">
        <f t="shared" si="0"/>
        <v>9999999.0009520594</v>
      </c>
      <c r="D24" s="16">
        <f t="shared" si="1"/>
        <v>1.4193914830684662E-3</v>
      </c>
    </row>
    <row r="25" spans="1:4" x14ac:dyDescent="0.2">
      <c r="A25" s="11">
        <v>0.2676736111111111</v>
      </c>
      <c r="B25" s="13">
        <v>9990030.591</v>
      </c>
      <c r="C25" s="13">
        <f t="shared" si="0"/>
        <v>9999999.0030591004</v>
      </c>
      <c r="D25" s="16">
        <f t="shared" si="1"/>
        <v>-2.1070409566164017E-3</v>
      </c>
    </row>
    <row r="26" spans="1:4" x14ac:dyDescent="0.2">
      <c r="A26" s="11">
        <v>0.2676736111111111</v>
      </c>
      <c r="B26" s="13">
        <v>9990045.9848999996</v>
      </c>
      <c r="C26" s="13">
        <f t="shared" si="0"/>
        <v>9999999.004598489</v>
      </c>
      <c r="D26" s="16">
        <f t="shared" si="1"/>
        <v>-1.5393886715173721E-3</v>
      </c>
    </row>
    <row r="27" spans="1:4" x14ac:dyDescent="0.2">
      <c r="A27" s="11">
        <v>0.26768518518518519</v>
      </c>
      <c r="B27" s="13">
        <v>9990044.0475999992</v>
      </c>
      <c r="C27" s="13">
        <f t="shared" si="0"/>
        <v>9999999.0044047609</v>
      </c>
      <c r="D27" s="16">
        <f t="shared" si="1"/>
        <v>1.9372813403606415E-4</v>
      </c>
    </row>
    <row r="28" spans="1:4" x14ac:dyDescent="0.2">
      <c r="A28" s="11">
        <v>0.26768518518518519</v>
      </c>
      <c r="B28" s="13">
        <v>9990064.1461999994</v>
      </c>
      <c r="C28" s="13">
        <f t="shared" si="0"/>
        <v>9999999.0064146202</v>
      </c>
      <c r="D28" s="16">
        <f t="shared" si="1"/>
        <v>-2.0098593086004257E-3</v>
      </c>
    </row>
    <row r="29" spans="1:4" x14ac:dyDescent="0.2">
      <c r="A29" s="11">
        <v>0.26768518518518519</v>
      </c>
      <c r="B29" s="13">
        <v>9990065.8344999999</v>
      </c>
      <c r="C29" s="13">
        <f t="shared" si="0"/>
        <v>9999999.0065834504</v>
      </c>
      <c r="D29" s="16">
        <f t="shared" si="1"/>
        <v>-1.6883015632629395E-4</v>
      </c>
    </row>
    <row r="30" spans="1:4" x14ac:dyDescent="0.2">
      <c r="A30" s="11">
        <v>0.26768518518518519</v>
      </c>
      <c r="B30" s="13">
        <v>9989989.8363000005</v>
      </c>
      <c r="C30" s="13">
        <f t="shared" si="0"/>
        <v>9999998.9989836309</v>
      </c>
      <c r="D30" s="16">
        <f t="shared" si="1"/>
        <v>7.5998194515705109E-3</v>
      </c>
    </row>
    <row r="31" spans="1:4" x14ac:dyDescent="0.2">
      <c r="A31" s="11">
        <v>0.26768518518518519</v>
      </c>
      <c r="B31" s="13">
        <v>9989977.8650000002</v>
      </c>
      <c r="C31" s="13">
        <f t="shared" si="0"/>
        <v>9999998.9977864996</v>
      </c>
      <c r="D31" s="16">
        <f t="shared" si="1"/>
        <v>1.1971313506364822E-3</v>
      </c>
    </row>
    <row r="32" spans="1:4" x14ac:dyDescent="0.2">
      <c r="A32" s="11">
        <v>0.26768518518518519</v>
      </c>
      <c r="B32" s="13">
        <v>9990054.7932999991</v>
      </c>
      <c r="C32" s="13">
        <f t="shared" si="0"/>
        <v>9999999.0054793302</v>
      </c>
      <c r="D32" s="16">
        <f t="shared" si="1"/>
        <v>-7.6928306370973587E-3</v>
      </c>
    </row>
    <row r="33" spans="1:4" x14ac:dyDescent="0.2">
      <c r="A33" s="11">
        <v>0.26769675925925923</v>
      </c>
      <c r="B33" s="13">
        <v>9989998.4130000006</v>
      </c>
      <c r="C33" s="13">
        <f t="shared" si="0"/>
        <v>9999998.9998412989</v>
      </c>
      <c r="D33" s="16">
        <f t="shared" si="1"/>
        <v>5.6380312889814377E-3</v>
      </c>
    </row>
    <row r="34" spans="1:4" x14ac:dyDescent="0.2">
      <c r="A34" s="11">
        <v>0.26769675925925923</v>
      </c>
      <c r="B34" s="13">
        <v>9990005.8386000004</v>
      </c>
      <c r="C34" s="13">
        <f t="shared" si="0"/>
        <v>9999999.000583861</v>
      </c>
      <c r="D34" s="16">
        <f t="shared" si="1"/>
        <v>-7.4256211519241333E-4</v>
      </c>
    </row>
    <row r="35" spans="1:4" x14ac:dyDescent="0.2">
      <c r="A35" s="11">
        <v>0.26769675925925923</v>
      </c>
      <c r="B35" s="13">
        <v>9990025.9311999995</v>
      </c>
      <c r="C35" s="13">
        <f t="shared" si="0"/>
        <v>9999999.0025931187</v>
      </c>
      <c r="D35" s="16">
        <f t="shared" si="1"/>
        <v>-2.0092576742172241E-3</v>
      </c>
    </row>
    <row r="36" spans="1:4" x14ac:dyDescent="0.2">
      <c r="A36" s="11">
        <v>0.26769675925925923</v>
      </c>
      <c r="B36" s="13">
        <v>9990070.2905000001</v>
      </c>
      <c r="C36" s="13">
        <f t="shared" si="0"/>
        <v>9999999.007029051</v>
      </c>
      <c r="D36" s="16">
        <f t="shared" si="1"/>
        <v>-4.4359322637319565E-3</v>
      </c>
    </row>
    <row r="37" spans="1:4" x14ac:dyDescent="0.2">
      <c r="A37" s="11">
        <v>0.26769675925925923</v>
      </c>
      <c r="B37" s="13">
        <v>9990046.7069000006</v>
      </c>
      <c r="C37" s="13">
        <f t="shared" si="0"/>
        <v>9999999.0046706907</v>
      </c>
      <c r="D37" s="16">
        <f t="shared" si="1"/>
        <v>2.3583602160215378E-3</v>
      </c>
    </row>
    <row r="38" spans="1:4" x14ac:dyDescent="0.2">
      <c r="A38" s="11">
        <v>0.26769675925925923</v>
      </c>
      <c r="B38" s="13">
        <v>9990034.3853999991</v>
      </c>
      <c r="C38" s="13">
        <f t="shared" si="0"/>
        <v>9999999.0034385398</v>
      </c>
      <c r="D38" s="16">
        <f t="shared" si="1"/>
        <v>1.2321509420871735E-3</v>
      </c>
    </row>
    <row r="41" spans="1:4" x14ac:dyDescent="0.2">
      <c r="B41" s="3" t="s">
        <v>15</v>
      </c>
      <c r="C41" s="13">
        <f>IF(ISBLANK(ZNNbMesures),,AVERAGE(_4ZNPlageFReelle))</f>
        <v>9999999.0033163317</v>
      </c>
    </row>
    <row r="43" spans="1:4" x14ac:dyDescent="0.2">
      <c r="B43" s="3" t="s">
        <v>17</v>
      </c>
      <c r="C43" s="5" t="e">
        <f ca="1">[1]!Cal_variance(SUMSQ(_4ZNDeltaF),ZNNbMesures,ZNFreqMoyReel)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6.5000000000000003E-10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6F05-3E16-430D-B4B1-9F9138C55173}">
  <sheetPr codeName="ModeleMesure3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8.3000000000000003E-10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44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0.05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2000</v>
      </c>
    </row>
    <row r="9" spans="1:6" x14ac:dyDescent="0.2">
      <c r="A9" s="11">
        <v>0.26758101851851851</v>
      </c>
      <c r="B9" s="13">
        <v>9990085.9120000005</v>
      </c>
      <c r="C9" s="13">
        <f t="shared" ref="C9:C38" si="0">IF(ISBLANK(ZNCoeffMult),B9,(((B9-10000000)/(POWER(10,ZNCoeffMult)*10000000))+1)*ZNValFNominale)</f>
        <v>9999999.0085912012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0.26758101851851851</v>
      </c>
      <c r="B10" s="13">
        <v>9989939.8809999991</v>
      </c>
      <c r="C10" s="13">
        <f t="shared" si="0"/>
        <v>9999998.9939881004</v>
      </c>
      <c r="D10" s="16">
        <f t="shared" ref="D10:D38" si="1">C9-C10</f>
        <v>1.4603100717067719E-2</v>
      </c>
    </row>
    <row r="11" spans="1:6" x14ac:dyDescent="0.2">
      <c r="A11" s="11">
        <v>0.26758101851851851</v>
      </c>
      <c r="B11" s="13">
        <v>9989961.3499999996</v>
      </c>
      <c r="C11" s="13">
        <f t="shared" si="0"/>
        <v>9999998.9961350001</v>
      </c>
      <c r="D11" s="16">
        <f t="shared" si="1"/>
        <v>-2.1468997001647949E-3</v>
      </c>
    </row>
    <row r="12" spans="1:6" x14ac:dyDescent="0.2">
      <c r="A12" s="11">
        <v>0.26758101851851851</v>
      </c>
      <c r="B12" s="13">
        <v>9990066.6300000008</v>
      </c>
      <c r="C12" s="13">
        <f t="shared" si="0"/>
        <v>9999999.0066630002</v>
      </c>
      <c r="D12" s="16">
        <f t="shared" si="1"/>
        <v>-1.0528000071644783E-2</v>
      </c>
    </row>
    <row r="13" spans="1:6" x14ac:dyDescent="0.2">
      <c r="A13" s="11">
        <v>0.2675925925925926</v>
      </c>
      <c r="B13" s="13">
        <v>9989999.2009999994</v>
      </c>
      <c r="C13" s="13">
        <f t="shared" si="0"/>
        <v>9999998.9999201</v>
      </c>
      <c r="D13" s="16">
        <f t="shared" si="1"/>
        <v>6.7429002374410629E-3</v>
      </c>
    </row>
    <row r="14" spans="1:6" x14ac:dyDescent="0.2">
      <c r="A14" s="11">
        <v>0.2675925925925926</v>
      </c>
      <c r="B14" s="13">
        <v>9989931.4639999997</v>
      </c>
      <c r="C14" s="13">
        <f t="shared" si="0"/>
        <v>9999998.993146399</v>
      </c>
      <c r="D14" s="16">
        <f t="shared" si="1"/>
        <v>6.773700937628746E-3</v>
      </c>
    </row>
    <row r="15" spans="1:6" x14ac:dyDescent="0.2">
      <c r="A15" s="11">
        <v>0.2675925925925926</v>
      </c>
      <c r="B15" s="13">
        <v>9990010.5370000005</v>
      </c>
      <c r="C15" s="13">
        <f t="shared" si="0"/>
        <v>9999999.0010537002</v>
      </c>
      <c r="D15" s="16">
        <f t="shared" si="1"/>
        <v>-7.9073011875152588E-3</v>
      </c>
    </row>
    <row r="16" spans="1:6" x14ac:dyDescent="0.2">
      <c r="A16" s="11">
        <v>0.2675925925925926</v>
      </c>
      <c r="B16" s="13">
        <v>9990092.2400000002</v>
      </c>
      <c r="C16" s="13">
        <f t="shared" si="0"/>
        <v>9999999.0092239995</v>
      </c>
      <c r="D16" s="16">
        <f t="shared" si="1"/>
        <v>-8.170299232006073E-3</v>
      </c>
    </row>
    <row r="17" spans="1:4" x14ac:dyDescent="0.2">
      <c r="A17" s="11">
        <v>0.2675925925925926</v>
      </c>
      <c r="B17" s="13">
        <v>9990076.5779999997</v>
      </c>
      <c r="C17" s="13">
        <f t="shared" si="0"/>
        <v>9999999.0076577999</v>
      </c>
      <c r="D17" s="16">
        <f t="shared" si="1"/>
        <v>1.5661995857954025E-3</v>
      </c>
    </row>
    <row r="18" spans="1:4" x14ac:dyDescent="0.2">
      <c r="A18" s="11">
        <v>0.2675925925925926</v>
      </c>
      <c r="B18" s="13">
        <v>9989984.3039999995</v>
      </c>
      <c r="C18" s="13">
        <f t="shared" si="0"/>
        <v>9999998.9984304011</v>
      </c>
      <c r="D18" s="16">
        <f t="shared" si="1"/>
        <v>9.2273987829685211E-3</v>
      </c>
    </row>
    <row r="19" spans="1:4" x14ac:dyDescent="0.2">
      <c r="A19" s="11">
        <v>0.2675925925925926</v>
      </c>
      <c r="B19" s="13">
        <v>9990028.3279999997</v>
      </c>
      <c r="C19" s="13">
        <f t="shared" si="0"/>
        <v>9999999.0028328001</v>
      </c>
      <c r="D19" s="16">
        <f t="shared" si="1"/>
        <v>-4.4023990631103516E-3</v>
      </c>
    </row>
    <row r="20" spans="1:4" x14ac:dyDescent="0.2">
      <c r="A20" s="11">
        <v>0.2675925925925926</v>
      </c>
      <c r="B20" s="13">
        <v>9990089.2589999996</v>
      </c>
      <c r="C20" s="13">
        <f t="shared" si="0"/>
        <v>9999999.0089258999</v>
      </c>
      <c r="D20" s="16">
        <f t="shared" si="1"/>
        <v>-6.0930997133255005E-3</v>
      </c>
    </row>
    <row r="21" spans="1:4" x14ac:dyDescent="0.2">
      <c r="A21" s="11">
        <v>0.2675925925925926</v>
      </c>
      <c r="B21" s="13">
        <v>9990033.7090000007</v>
      </c>
      <c r="C21" s="13">
        <f t="shared" si="0"/>
        <v>9999999.0033708997</v>
      </c>
      <c r="D21" s="16">
        <f t="shared" si="1"/>
        <v>5.5550001561641693E-3</v>
      </c>
    </row>
    <row r="22" spans="1:4" x14ac:dyDescent="0.2">
      <c r="A22" s="11">
        <v>0.2676041666666667</v>
      </c>
      <c r="B22" s="13">
        <v>9989987.2149999999</v>
      </c>
      <c r="C22" s="13">
        <f t="shared" si="0"/>
        <v>9999998.998721499</v>
      </c>
      <c r="D22" s="16">
        <f t="shared" si="1"/>
        <v>4.6494007110595703E-3</v>
      </c>
    </row>
    <row r="23" spans="1:4" x14ac:dyDescent="0.2">
      <c r="A23" s="11">
        <v>0.2676041666666667</v>
      </c>
      <c r="B23" s="13">
        <v>9990037.0350000001</v>
      </c>
      <c r="C23" s="13">
        <f t="shared" si="0"/>
        <v>9999999.0037035011</v>
      </c>
      <c r="D23" s="16">
        <f t="shared" si="1"/>
        <v>-4.9820020794868469E-3</v>
      </c>
    </row>
    <row r="24" spans="1:4" x14ac:dyDescent="0.2">
      <c r="A24" s="11">
        <v>0.2676041666666667</v>
      </c>
      <c r="B24" s="13">
        <v>9990042.0950000007</v>
      </c>
      <c r="C24" s="13">
        <f t="shared" si="0"/>
        <v>9999999.0042094998</v>
      </c>
      <c r="D24" s="16">
        <f t="shared" si="1"/>
        <v>-5.0599873065948486E-4</v>
      </c>
    </row>
    <row r="25" spans="1:4" x14ac:dyDescent="0.2">
      <c r="A25" s="11">
        <v>0.2676041666666667</v>
      </c>
      <c r="B25" s="13">
        <v>9990015.7719999999</v>
      </c>
      <c r="C25" s="13">
        <f t="shared" si="0"/>
        <v>9999999.0015772004</v>
      </c>
      <c r="D25" s="16">
        <f t="shared" si="1"/>
        <v>2.6322994381189346E-3</v>
      </c>
    </row>
    <row r="26" spans="1:4" x14ac:dyDescent="0.2">
      <c r="A26" s="11">
        <v>0.2676041666666667</v>
      </c>
      <c r="B26" s="13">
        <v>9990023.8800000008</v>
      </c>
      <c r="C26" s="13">
        <f t="shared" si="0"/>
        <v>9999999.0023880005</v>
      </c>
      <c r="D26" s="16">
        <f t="shared" si="1"/>
        <v>-8.1080012023448944E-4</v>
      </c>
    </row>
    <row r="27" spans="1:4" x14ac:dyDescent="0.2">
      <c r="A27" s="11">
        <v>0.2676041666666667</v>
      </c>
      <c r="B27" s="13">
        <v>9990049.4969999995</v>
      </c>
      <c r="C27" s="13">
        <f t="shared" si="0"/>
        <v>9999999.0049497001</v>
      </c>
      <c r="D27" s="16">
        <f t="shared" si="1"/>
        <v>-2.5616995990276337E-3</v>
      </c>
    </row>
    <row r="28" spans="1:4" x14ac:dyDescent="0.2">
      <c r="A28" s="11">
        <v>0.2676041666666667</v>
      </c>
      <c r="B28" s="13">
        <v>9990014.7359999996</v>
      </c>
      <c r="C28" s="13">
        <f t="shared" si="0"/>
        <v>9999999.0014736</v>
      </c>
      <c r="D28" s="16">
        <f t="shared" si="1"/>
        <v>3.4761000424623489E-3</v>
      </c>
    </row>
    <row r="29" spans="1:4" x14ac:dyDescent="0.2">
      <c r="A29" s="11">
        <v>0.2676041666666667</v>
      </c>
      <c r="B29" s="13">
        <v>9989986.3010000009</v>
      </c>
      <c r="C29" s="13">
        <f t="shared" si="0"/>
        <v>9999998.998630099</v>
      </c>
      <c r="D29" s="16">
        <f t="shared" si="1"/>
        <v>2.8435010462999344E-3</v>
      </c>
    </row>
    <row r="30" spans="1:4" x14ac:dyDescent="0.2">
      <c r="A30" s="11">
        <v>0.26761574074074074</v>
      </c>
      <c r="B30" s="13">
        <v>9990055.7489999998</v>
      </c>
      <c r="C30" s="13">
        <f t="shared" si="0"/>
        <v>9999999.0055749007</v>
      </c>
      <c r="D30" s="16">
        <f t="shared" si="1"/>
        <v>-6.9448016583919525E-3</v>
      </c>
    </row>
    <row r="31" spans="1:4" x14ac:dyDescent="0.2">
      <c r="A31" s="11">
        <v>0.26761574074074074</v>
      </c>
      <c r="B31" s="13">
        <v>9990072.5769999996</v>
      </c>
      <c r="C31" s="13">
        <f t="shared" si="0"/>
        <v>9999999.0072577</v>
      </c>
      <c r="D31" s="16">
        <f t="shared" si="1"/>
        <v>-1.6827993094921112E-3</v>
      </c>
    </row>
    <row r="32" spans="1:4" x14ac:dyDescent="0.2">
      <c r="A32" s="11">
        <v>0.26761574074074074</v>
      </c>
      <c r="B32" s="13">
        <v>9989998.5830000006</v>
      </c>
      <c r="C32" s="13">
        <f t="shared" si="0"/>
        <v>9999998.9998583011</v>
      </c>
      <c r="D32" s="16">
        <f t="shared" si="1"/>
        <v>7.3993988335132599E-3</v>
      </c>
    </row>
    <row r="33" spans="1:4" x14ac:dyDescent="0.2">
      <c r="A33" s="11">
        <v>0.26761574074074074</v>
      </c>
      <c r="B33" s="13">
        <v>9989979.1040000003</v>
      </c>
      <c r="C33" s="13">
        <f t="shared" si="0"/>
        <v>9999998.997910399</v>
      </c>
      <c r="D33" s="16">
        <f t="shared" si="1"/>
        <v>1.9479021430015564E-3</v>
      </c>
    </row>
    <row r="34" spans="1:4" x14ac:dyDescent="0.2">
      <c r="A34" s="11">
        <v>0.26761574074074074</v>
      </c>
      <c r="B34" s="13">
        <v>9990000.7109999992</v>
      </c>
      <c r="C34" s="13">
        <f t="shared" si="0"/>
        <v>9999999.0000711009</v>
      </c>
      <c r="D34" s="16">
        <f t="shared" si="1"/>
        <v>-2.1607019007205963E-3</v>
      </c>
    </row>
    <row r="35" spans="1:4" x14ac:dyDescent="0.2">
      <c r="A35" s="11">
        <v>0.26761574074074074</v>
      </c>
      <c r="B35" s="13">
        <v>9990080.8230000008</v>
      </c>
      <c r="C35" s="13">
        <f t="shared" si="0"/>
        <v>9999999.0080823004</v>
      </c>
      <c r="D35" s="16">
        <f t="shared" si="1"/>
        <v>-8.0111995339393616E-3</v>
      </c>
    </row>
    <row r="36" spans="1:4" x14ac:dyDescent="0.2">
      <c r="A36" s="11">
        <v>0.26761574074074074</v>
      </c>
      <c r="B36" s="13">
        <v>9990055.2410000004</v>
      </c>
      <c r="C36" s="13">
        <f t="shared" si="0"/>
        <v>9999999.0055240989</v>
      </c>
      <c r="D36" s="16">
        <f t="shared" si="1"/>
        <v>2.5582015514373779E-3</v>
      </c>
    </row>
    <row r="37" spans="1:4" x14ac:dyDescent="0.2">
      <c r="A37" s="11">
        <v>0.26761574074074074</v>
      </c>
      <c r="B37" s="13">
        <v>9990058.5590000004</v>
      </c>
      <c r="C37" s="13">
        <f t="shared" si="0"/>
        <v>9999999.0058558993</v>
      </c>
      <c r="D37" s="16">
        <f t="shared" si="1"/>
        <v>-3.318004310131073E-4</v>
      </c>
    </row>
    <row r="38" spans="1:4" x14ac:dyDescent="0.2">
      <c r="A38" s="11">
        <v>0.26762731481481483</v>
      </c>
      <c r="B38" s="13">
        <v>9990003.7880000006</v>
      </c>
      <c r="C38" s="13">
        <f t="shared" si="0"/>
        <v>9999999.0003788006</v>
      </c>
      <c r="D38" s="16">
        <f t="shared" si="1"/>
        <v>5.477098748087883E-3</v>
      </c>
    </row>
    <row r="41" spans="1:4" x14ac:dyDescent="0.2">
      <c r="B41" s="3" t="s">
        <v>15</v>
      </c>
      <c r="C41" s="13">
        <f>IF(ISBLANK(ZNNbMesures),,AVERAGE(_3ZNPlageFReelle))</f>
        <v>9999999.002536865</v>
      </c>
    </row>
    <row r="43" spans="1:4" x14ac:dyDescent="0.2">
      <c r="B43" s="3" t="s">
        <v>17</v>
      </c>
      <c r="C43" s="5" t="e">
        <f ca="1">[1]!Cal_variance(SUMSQ(_3ZNDeltaF),ZNNbMesures,ZNFreqMoyReel)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8.3000000000000003E-10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8E99-91CE-4548-8B02-31E82255DB1A}">
  <sheetPr codeName="ModeleMesure2"/>
  <dimension ref="A1:F59"/>
  <sheetViews>
    <sheetView topLeftCell="A21"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1.6000000000000001E-9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43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0.02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5000</v>
      </c>
    </row>
    <row r="9" spans="1:6" x14ac:dyDescent="0.2">
      <c r="A9" s="11">
        <v>0.26752314814814815</v>
      </c>
      <c r="B9" s="13">
        <v>9989926.3039999995</v>
      </c>
      <c r="C9" s="13">
        <f t="shared" ref="C9:C38" si="0">IF(ISBLANK(ZNCoeffMult),B9,(((B9-10000000)/(POWER(10,ZNCoeffMult)*10000000))+1)*ZNValFNominale)</f>
        <v>9999998.9926303998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0.26752314814814815</v>
      </c>
      <c r="B10" s="13">
        <v>9990028.193</v>
      </c>
      <c r="C10" s="13">
        <f t="shared" si="0"/>
        <v>9999999.0028192997</v>
      </c>
      <c r="D10" s="16">
        <f t="shared" ref="D10:D38" si="1">C9-C10</f>
        <v>-1.018889993429184E-2</v>
      </c>
    </row>
    <row r="11" spans="1:6" x14ac:dyDescent="0.2">
      <c r="A11" s="11">
        <v>0.26752314814814815</v>
      </c>
      <c r="B11" s="13">
        <v>9990168.0859999992</v>
      </c>
      <c r="C11" s="13">
        <f t="shared" si="0"/>
        <v>9999999.0168085992</v>
      </c>
      <c r="D11" s="16">
        <f t="shared" si="1"/>
        <v>-1.3989299535751343E-2</v>
      </c>
    </row>
    <row r="12" spans="1:6" x14ac:dyDescent="0.2">
      <c r="A12" s="11">
        <v>0.26752314814814815</v>
      </c>
      <c r="B12" s="13">
        <v>9990015.8640000001</v>
      </c>
      <c r="C12" s="13">
        <f t="shared" si="0"/>
        <v>9999999.0015864</v>
      </c>
      <c r="D12" s="16">
        <f t="shared" si="1"/>
        <v>1.5222199261188507E-2</v>
      </c>
    </row>
    <row r="13" spans="1:6" x14ac:dyDescent="0.2">
      <c r="A13" s="11">
        <v>0.26752314814814815</v>
      </c>
      <c r="B13" s="13">
        <v>9990031.3910000008</v>
      </c>
      <c r="C13" s="13">
        <f t="shared" si="0"/>
        <v>9999999.0031390991</v>
      </c>
      <c r="D13" s="16">
        <f t="shared" si="1"/>
        <v>-1.5526991337537766E-3</v>
      </c>
    </row>
    <row r="14" spans="1:6" x14ac:dyDescent="0.2">
      <c r="A14" s="11">
        <v>0.26753472222222224</v>
      </c>
      <c r="B14" s="13">
        <v>9989965.523</v>
      </c>
      <c r="C14" s="13">
        <f t="shared" si="0"/>
        <v>9999998.9965522997</v>
      </c>
      <c r="D14" s="16">
        <f t="shared" si="1"/>
        <v>6.5867993980646133E-3</v>
      </c>
    </row>
    <row r="15" spans="1:6" x14ac:dyDescent="0.2">
      <c r="A15" s="11">
        <v>0.26753472222222224</v>
      </c>
      <c r="B15" s="13">
        <v>9989959.9580000006</v>
      </c>
      <c r="C15" s="13">
        <f t="shared" si="0"/>
        <v>9999998.9959958009</v>
      </c>
      <c r="D15" s="16">
        <f t="shared" si="1"/>
        <v>5.5649876594543457E-4</v>
      </c>
    </row>
    <row r="16" spans="1:6" x14ac:dyDescent="0.2">
      <c r="A16" s="11">
        <v>0.26753472222222224</v>
      </c>
      <c r="B16" s="13">
        <v>9989982.8450000007</v>
      </c>
      <c r="C16" s="13">
        <f t="shared" si="0"/>
        <v>9999998.9982845001</v>
      </c>
      <c r="D16" s="16">
        <f t="shared" si="1"/>
        <v>-2.2886991500854492E-3</v>
      </c>
    </row>
    <row r="17" spans="1:4" x14ac:dyDescent="0.2">
      <c r="A17" s="11">
        <v>0.26753472222222224</v>
      </c>
      <c r="B17" s="13">
        <v>9990120.4330000002</v>
      </c>
      <c r="C17" s="13">
        <f t="shared" si="0"/>
        <v>9999999.012043301</v>
      </c>
      <c r="D17" s="16">
        <f t="shared" si="1"/>
        <v>-1.375880092382431E-2</v>
      </c>
    </row>
    <row r="18" spans="1:4" x14ac:dyDescent="0.2">
      <c r="A18" s="11">
        <v>0.26753472222222224</v>
      </c>
      <c r="B18" s="13">
        <v>9990017.4360000007</v>
      </c>
      <c r="C18" s="13">
        <f t="shared" si="0"/>
        <v>9999999.0017435998</v>
      </c>
      <c r="D18" s="16">
        <f t="shared" si="1"/>
        <v>1.0299701243638992E-2</v>
      </c>
    </row>
    <row r="19" spans="1:4" x14ac:dyDescent="0.2">
      <c r="A19" s="11">
        <v>0.26753472222222224</v>
      </c>
      <c r="B19" s="13">
        <v>9989944.8269999996</v>
      </c>
      <c r="C19" s="13">
        <f t="shared" si="0"/>
        <v>9999998.9944826998</v>
      </c>
      <c r="D19" s="16">
        <f t="shared" si="1"/>
        <v>7.2608999907970428E-3</v>
      </c>
    </row>
    <row r="20" spans="1:4" x14ac:dyDescent="0.2">
      <c r="A20" s="11">
        <v>0.26753472222222224</v>
      </c>
      <c r="B20" s="13">
        <v>9990248.8220000006</v>
      </c>
      <c r="C20" s="13">
        <f t="shared" si="0"/>
        <v>9999999.0248821992</v>
      </c>
      <c r="D20" s="16">
        <f t="shared" si="1"/>
        <v>-3.0399499461054802E-2</v>
      </c>
    </row>
    <row r="21" spans="1:4" x14ac:dyDescent="0.2">
      <c r="A21" s="11">
        <v>0.26753472222222224</v>
      </c>
      <c r="B21" s="13">
        <v>9990095.3029999994</v>
      </c>
      <c r="C21" s="13">
        <f t="shared" si="0"/>
        <v>9999999.0095303003</v>
      </c>
      <c r="D21" s="16">
        <f t="shared" si="1"/>
        <v>1.5351898968219757E-2</v>
      </c>
    </row>
    <row r="22" spans="1:4" x14ac:dyDescent="0.2">
      <c r="A22" s="11">
        <v>0.26753472222222224</v>
      </c>
      <c r="B22" s="13">
        <v>9990156.7679999992</v>
      </c>
      <c r="C22" s="13">
        <f t="shared" si="0"/>
        <v>9999999.0156768002</v>
      </c>
      <c r="D22" s="16">
        <f t="shared" si="1"/>
        <v>-6.1464998871088028E-3</v>
      </c>
    </row>
    <row r="23" spans="1:4" x14ac:dyDescent="0.2">
      <c r="A23" s="11">
        <v>0.26753472222222224</v>
      </c>
      <c r="B23" s="13">
        <v>9990000.4379999992</v>
      </c>
      <c r="C23" s="13">
        <f t="shared" si="0"/>
        <v>9999999.0000438001</v>
      </c>
      <c r="D23" s="16">
        <f t="shared" si="1"/>
        <v>1.5633000060915947E-2</v>
      </c>
    </row>
    <row r="24" spans="1:4" x14ac:dyDescent="0.2">
      <c r="A24" s="11">
        <v>0.26753472222222224</v>
      </c>
      <c r="B24" s="13">
        <v>9989935.9869999997</v>
      </c>
      <c r="C24" s="13">
        <f t="shared" si="0"/>
        <v>9999998.9935986996</v>
      </c>
      <c r="D24" s="16">
        <f t="shared" si="1"/>
        <v>6.4451005309820175E-3</v>
      </c>
    </row>
    <row r="25" spans="1:4" x14ac:dyDescent="0.2">
      <c r="A25" s="11">
        <v>0.26753472222222224</v>
      </c>
      <c r="B25" s="13">
        <v>9990026.2379999999</v>
      </c>
      <c r="C25" s="13">
        <f t="shared" si="0"/>
        <v>9999999.0026238002</v>
      </c>
      <c r="D25" s="16">
        <f t="shared" si="1"/>
        <v>-9.0251006186008453E-3</v>
      </c>
    </row>
    <row r="26" spans="1:4" x14ac:dyDescent="0.2">
      <c r="A26" s="11">
        <v>0.26754629629629628</v>
      </c>
      <c r="B26" s="13">
        <v>9990075.0020000003</v>
      </c>
      <c r="C26" s="13">
        <f t="shared" si="0"/>
        <v>9999999.0075001996</v>
      </c>
      <c r="D26" s="16">
        <f t="shared" si="1"/>
        <v>-4.8763994127511978E-3</v>
      </c>
    </row>
    <row r="27" spans="1:4" x14ac:dyDescent="0.2">
      <c r="A27" s="11">
        <v>0.26754629629629628</v>
      </c>
      <c r="B27" s="13">
        <v>9990042.0859999992</v>
      </c>
      <c r="C27" s="13">
        <f t="shared" si="0"/>
        <v>9999999.0042086001</v>
      </c>
      <c r="D27" s="16">
        <f t="shared" si="1"/>
        <v>3.291599452495575E-3</v>
      </c>
    </row>
    <row r="28" spans="1:4" x14ac:dyDescent="0.2">
      <c r="A28" s="11">
        <v>0.26754629629629628</v>
      </c>
      <c r="B28" s="13">
        <v>9990016.4509999994</v>
      </c>
      <c r="C28" s="13">
        <f t="shared" si="0"/>
        <v>9999999.0016450994</v>
      </c>
      <c r="D28" s="16">
        <f t="shared" si="1"/>
        <v>2.56350077688694E-3</v>
      </c>
    </row>
    <row r="29" spans="1:4" x14ac:dyDescent="0.2">
      <c r="A29" s="11">
        <v>0.26754629629629628</v>
      </c>
      <c r="B29" s="13">
        <v>9989997.0940000005</v>
      </c>
      <c r="C29" s="13">
        <f t="shared" si="0"/>
        <v>9999998.9997093994</v>
      </c>
      <c r="D29" s="16">
        <f t="shared" si="1"/>
        <v>1.9356999546289444E-3</v>
      </c>
    </row>
    <row r="30" spans="1:4" x14ac:dyDescent="0.2">
      <c r="A30" s="11">
        <v>0.26754629629629628</v>
      </c>
      <c r="B30" s="13">
        <v>9989972.5219999999</v>
      </c>
      <c r="C30" s="13">
        <f t="shared" si="0"/>
        <v>9999998.9972521998</v>
      </c>
      <c r="D30" s="16">
        <f t="shared" si="1"/>
        <v>2.4571996182203293E-3</v>
      </c>
    </row>
    <row r="31" spans="1:4" x14ac:dyDescent="0.2">
      <c r="A31" s="11">
        <v>0.26754629629629628</v>
      </c>
      <c r="B31" s="13">
        <v>9989875.2420000006</v>
      </c>
      <c r="C31" s="13">
        <f t="shared" si="0"/>
        <v>9999998.9875242002</v>
      </c>
      <c r="D31" s="16">
        <f t="shared" si="1"/>
        <v>9.7279995679855347E-3</v>
      </c>
    </row>
    <row r="32" spans="1:4" x14ac:dyDescent="0.2">
      <c r="A32" s="11">
        <v>0.26754629629629628</v>
      </c>
      <c r="B32" s="13">
        <v>9990076.8959999997</v>
      </c>
      <c r="C32" s="13">
        <f t="shared" si="0"/>
        <v>9999999.0076895989</v>
      </c>
      <c r="D32" s="16">
        <f t="shared" si="1"/>
        <v>-2.0165398716926575E-2</v>
      </c>
    </row>
    <row r="33" spans="1:4" x14ac:dyDescent="0.2">
      <c r="A33" s="11">
        <v>0.26754629629629628</v>
      </c>
      <c r="B33" s="13">
        <v>9990103.6199999992</v>
      </c>
      <c r="C33" s="13">
        <f t="shared" si="0"/>
        <v>9999999.0103619993</v>
      </c>
      <c r="D33" s="16">
        <f t="shared" si="1"/>
        <v>-2.6724003255367279E-3</v>
      </c>
    </row>
    <row r="34" spans="1:4" x14ac:dyDescent="0.2">
      <c r="A34" s="11">
        <v>0.26754629629629628</v>
      </c>
      <c r="B34" s="13">
        <v>9989807.1779999994</v>
      </c>
      <c r="C34" s="13">
        <f t="shared" si="0"/>
        <v>9999998.9807178006</v>
      </c>
      <c r="D34" s="16">
        <f t="shared" si="1"/>
        <v>2.9644198715686798E-2</v>
      </c>
    </row>
    <row r="35" spans="1:4" x14ac:dyDescent="0.2">
      <c r="A35" s="11">
        <v>0.26754629629629628</v>
      </c>
      <c r="B35" s="13">
        <v>9990031.5989999995</v>
      </c>
      <c r="C35" s="13">
        <f t="shared" si="0"/>
        <v>9999999.0031598993</v>
      </c>
      <c r="D35" s="16">
        <f t="shared" si="1"/>
        <v>-2.2442098706960678E-2</v>
      </c>
    </row>
    <row r="36" spans="1:4" x14ac:dyDescent="0.2">
      <c r="A36" s="11">
        <v>0.26754629629629628</v>
      </c>
      <c r="B36" s="13">
        <v>9989989.5309999995</v>
      </c>
      <c r="C36" s="13">
        <f t="shared" si="0"/>
        <v>9999998.9989531003</v>
      </c>
      <c r="D36" s="16">
        <f t="shared" si="1"/>
        <v>4.2067989706993103E-3</v>
      </c>
    </row>
    <row r="37" spans="1:4" x14ac:dyDescent="0.2">
      <c r="A37" s="11">
        <v>0.26755787037037038</v>
      </c>
      <c r="B37" s="13">
        <v>9989929.3139999993</v>
      </c>
      <c r="C37" s="13">
        <f t="shared" si="0"/>
        <v>9999998.9929313995</v>
      </c>
      <c r="D37" s="16">
        <f t="shared" si="1"/>
        <v>6.0217007994651794E-3</v>
      </c>
    </row>
    <row r="38" spans="1:4" x14ac:dyDescent="0.2">
      <c r="A38" s="11">
        <v>0.26755787037037038</v>
      </c>
      <c r="B38" s="13">
        <v>9990175.9179999996</v>
      </c>
      <c r="C38" s="13">
        <f t="shared" si="0"/>
        <v>9999999.0175918005</v>
      </c>
      <c r="D38" s="16">
        <f t="shared" si="1"/>
        <v>-2.4660401046276093E-2</v>
      </c>
    </row>
    <row r="41" spans="1:4" x14ac:dyDescent="0.2">
      <c r="B41" s="3" t="s">
        <v>15</v>
      </c>
      <c r="C41" s="13">
        <f>IF(ISBLANK(ZNNbMesures),,AVERAGE(_2ZNPlageFReelle))</f>
        <v>9999999.0023895632</v>
      </c>
    </row>
    <row r="43" spans="1:4" x14ac:dyDescent="0.2">
      <c r="B43" s="3" t="s">
        <v>17</v>
      </c>
      <c r="C43" s="5" t="e">
        <f ca="1">[1]!Cal_variance(SUMSQ(_2ZNDeltaF),ZNNbMesures,ZNFreqMoyReel)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1.6000000000000001E-9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52A3-E4B3-443A-9D60-05DC7DB9C137}">
  <sheetPr codeName="ModeleMesure1"/>
  <dimension ref="A1:F59"/>
  <sheetViews>
    <sheetView workbookViewId="0">
      <selection activeCell="A38" sqref="A38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26" customWidth="1"/>
    <col min="6" max="6" width="23" style="16" customWidth="1"/>
    <col min="7" max="16384" width="11.42578125" style="1"/>
  </cols>
  <sheetData>
    <row r="1" spans="1:6" x14ac:dyDescent="0.2">
      <c r="A1" s="7" t="s">
        <v>9</v>
      </c>
      <c r="B1" s="2" t="s">
        <v>34</v>
      </c>
      <c r="C1" s="1" t="s">
        <v>35</v>
      </c>
    </row>
    <row r="2" spans="1:6" x14ac:dyDescent="0.2">
      <c r="A2" s="2" t="s">
        <v>36</v>
      </c>
      <c r="C2" s="14" t="s">
        <v>37</v>
      </c>
      <c r="E2" s="26" t="s">
        <v>25</v>
      </c>
      <c r="F2" s="16">
        <v>1.3999999999999999E-9</v>
      </c>
    </row>
    <row r="3" spans="1:6" x14ac:dyDescent="0.2">
      <c r="A3" s="2" t="s">
        <v>10</v>
      </c>
      <c r="B3" s="14" t="s">
        <v>38</v>
      </c>
      <c r="C3" s="30" t="s">
        <v>39</v>
      </c>
      <c r="D3" s="31" t="s">
        <v>40</v>
      </c>
      <c r="E3" s="26" t="s">
        <v>26</v>
      </c>
      <c r="F3" s="16">
        <v>0</v>
      </c>
    </row>
    <row r="4" spans="1:6" x14ac:dyDescent="0.2">
      <c r="C4" s="17" t="s">
        <v>41</v>
      </c>
      <c r="D4" s="18">
        <v>4</v>
      </c>
      <c r="E4" s="27" t="s">
        <v>27</v>
      </c>
      <c r="F4" s="16">
        <v>0.01</v>
      </c>
    </row>
    <row r="5" spans="1:6" x14ac:dyDescent="0.2">
      <c r="A5" s="18">
        <v>30</v>
      </c>
      <c r="B5" s="14" t="s">
        <v>16</v>
      </c>
      <c r="C5" s="17" t="s">
        <v>42</v>
      </c>
      <c r="D5" s="19">
        <v>10000000</v>
      </c>
      <c r="E5" s="28" t="s">
        <v>28</v>
      </c>
      <c r="F5" s="16">
        <v>100</v>
      </c>
    </row>
    <row r="6" spans="1:6" x14ac:dyDescent="0.2">
      <c r="E6" s="26" t="s">
        <v>29</v>
      </c>
      <c r="F6" s="16">
        <v>100</v>
      </c>
    </row>
    <row r="7" spans="1:6" x14ac:dyDescent="0.2">
      <c r="A7" s="8" t="s">
        <v>0</v>
      </c>
      <c r="B7" s="9" t="s">
        <v>1</v>
      </c>
      <c r="C7" s="9" t="s">
        <v>2</v>
      </c>
      <c r="D7" s="10" t="s">
        <v>3</v>
      </c>
      <c r="E7" s="26" t="s">
        <v>30</v>
      </c>
      <c r="F7" s="16">
        <f>IF(ISBLANK(ZNNbMesures),,SQRT(ZNNbMesures/ZNNbMesAccredite))</f>
        <v>0.54772255750516607</v>
      </c>
    </row>
    <row r="8" spans="1:6" x14ac:dyDescent="0.2">
      <c r="E8" s="26" t="s">
        <v>31</v>
      </c>
      <c r="F8" s="16">
        <f>IF(ISBLANK(ZNValGateSecondes),,ZNTempsMesureAccredite/ZNValGateSecondes)</f>
        <v>10000</v>
      </c>
    </row>
    <row r="9" spans="1:6" x14ac:dyDescent="0.2">
      <c r="A9" s="11">
        <v>0.26747685185185183</v>
      </c>
      <c r="B9" s="13">
        <v>9990009.6579999998</v>
      </c>
      <c r="C9" s="13">
        <f t="shared" ref="C9:C38" si="0">IF(ISBLANK(ZNCoeffMult),B9,(((B9-10000000)/(POWER(10,ZNCoeffMult)*10000000))+1)*ZNValFNominale)</f>
        <v>9999999.0009658001</v>
      </c>
      <c r="E9" s="29" t="s">
        <v>32</v>
      </c>
      <c r="F9" s="16" t="e">
        <f ca="1">IF(ISBLANK(ZNIncertSup),,([1]!Cal_incert_global(ZNIncertAccreditee,ZNCoeffNbMes,ZNCoeffTempsMesure,ZNVariance,ZNIncertResol/ZNFreqMoyReel,ZNIncertSup)*ZNFreqMoyReel))</f>
        <v>#NAME?</v>
      </c>
    </row>
    <row r="10" spans="1:6" x14ac:dyDescent="0.2">
      <c r="A10" s="11">
        <v>0.26747685185185183</v>
      </c>
      <c r="B10" s="13">
        <v>9989964.5319999997</v>
      </c>
      <c r="C10" s="13">
        <f t="shared" si="0"/>
        <v>9999998.9964531995</v>
      </c>
      <c r="D10" s="16">
        <f t="shared" ref="D10:D38" si="1">C9-C10</f>
        <v>4.5126006007194519E-3</v>
      </c>
    </row>
    <row r="11" spans="1:6" x14ac:dyDescent="0.2">
      <c r="A11" s="11">
        <v>0.26747685185185183</v>
      </c>
      <c r="B11" s="13">
        <v>9990376.7909999993</v>
      </c>
      <c r="C11" s="13">
        <f t="shared" si="0"/>
        <v>9999999.0376791004</v>
      </c>
      <c r="D11" s="16">
        <f t="shared" si="1"/>
        <v>-4.1225900873541832E-2</v>
      </c>
    </row>
    <row r="12" spans="1:6" x14ac:dyDescent="0.2">
      <c r="A12" s="11">
        <v>0.26747685185185183</v>
      </c>
      <c r="B12" s="13">
        <v>9989784.4580000006</v>
      </c>
      <c r="C12" s="13">
        <f t="shared" si="0"/>
        <v>9999998.9784458</v>
      </c>
      <c r="D12" s="16">
        <f t="shared" si="1"/>
        <v>5.9233300387859344E-2</v>
      </c>
    </row>
    <row r="13" spans="1:6" x14ac:dyDescent="0.2">
      <c r="A13" s="11">
        <v>0.26747685185185183</v>
      </c>
      <c r="B13" s="13">
        <v>9989946.9550000001</v>
      </c>
      <c r="C13" s="13">
        <f t="shared" si="0"/>
        <v>9999998.9946954995</v>
      </c>
      <c r="D13" s="16">
        <f t="shared" si="1"/>
        <v>-1.6249699518084526E-2</v>
      </c>
    </row>
    <row r="14" spans="1:6" x14ac:dyDescent="0.2">
      <c r="A14" s="11">
        <v>0.26747685185185183</v>
      </c>
      <c r="B14" s="13">
        <v>9990167.2180000003</v>
      </c>
      <c r="C14" s="13">
        <f t="shared" si="0"/>
        <v>9999999.0167218</v>
      </c>
      <c r="D14" s="16">
        <f t="shared" si="1"/>
        <v>-2.2026300430297852E-2</v>
      </c>
    </row>
    <row r="15" spans="1:6" x14ac:dyDescent="0.2">
      <c r="A15" s="11">
        <v>0.26747685185185183</v>
      </c>
      <c r="B15" s="13">
        <v>9990029.4869999997</v>
      </c>
      <c r="C15" s="13">
        <f t="shared" si="0"/>
        <v>9999999.0029486995</v>
      </c>
      <c r="D15" s="16">
        <f t="shared" si="1"/>
        <v>1.3773100450634956E-2</v>
      </c>
    </row>
    <row r="16" spans="1:6" x14ac:dyDescent="0.2">
      <c r="A16" s="11">
        <v>0.26747685185185183</v>
      </c>
      <c r="B16" s="13">
        <v>9989801.9829999991</v>
      </c>
      <c r="C16" s="13">
        <f t="shared" si="0"/>
        <v>9999998.9801982995</v>
      </c>
      <c r="D16" s="16">
        <f t="shared" si="1"/>
        <v>2.2750400006771088E-2</v>
      </c>
    </row>
    <row r="17" spans="1:4" x14ac:dyDescent="0.2">
      <c r="A17" s="11">
        <v>0.26748842592592592</v>
      </c>
      <c r="B17" s="13">
        <v>9990324.3080000002</v>
      </c>
      <c r="C17" s="13">
        <f t="shared" si="0"/>
        <v>9999999.0324307997</v>
      </c>
      <c r="D17" s="16">
        <f t="shared" si="1"/>
        <v>-5.2232500165700912E-2</v>
      </c>
    </row>
    <row r="18" spans="1:4" x14ac:dyDescent="0.2">
      <c r="A18" s="11">
        <v>0.26748842592592592</v>
      </c>
      <c r="B18" s="13">
        <v>9990011.4900000002</v>
      </c>
      <c r="C18" s="13">
        <f t="shared" si="0"/>
        <v>9999999.0011490006</v>
      </c>
      <c r="D18" s="16">
        <f t="shared" si="1"/>
        <v>3.1281799077987671E-2</v>
      </c>
    </row>
    <row r="19" spans="1:4" x14ac:dyDescent="0.2">
      <c r="A19" s="11">
        <v>0.26748842592592592</v>
      </c>
      <c r="B19" s="13">
        <v>9989589.1060000006</v>
      </c>
      <c r="C19" s="13">
        <f t="shared" si="0"/>
        <v>9999998.9589105994</v>
      </c>
      <c r="D19" s="16">
        <f t="shared" si="1"/>
        <v>4.2238401249051094E-2</v>
      </c>
    </row>
    <row r="20" spans="1:4" x14ac:dyDescent="0.2">
      <c r="A20" s="11">
        <v>0.26748842592592592</v>
      </c>
      <c r="B20" s="13">
        <v>9990198.2520000003</v>
      </c>
      <c r="C20" s="13">
        <f t="shared" si="0"/>
        <v>9999999.0198251996</v>
      </c>
      <c r="D20" s="16">
        <f t="shared" si="1"/>
        <v>-6.0914600268006325E-2</v>
      </c>
    </row>
    <row r="21" spans="1:4" x14ac:dyDescent="0.2">
      <c r="A21" s="11">
        <v>0.26748842592592592</v>
      </c>
      <c r="B21" s="13">
        <v>9990089.4250000007</v>
      </c>
      <c r="C21" s="13">
        <f t="shared" si="0"/>
        <v>9999999.0089424998</v>
      </c>
      <c r="D21" s="16">
        <f t="shared" si="1"/>
        <v>1.0882699862122536E-2</v>
      </c>
    </row>
    <row r="22" spans="1:4" x14ac:dyDescent="0.2">
      <c r="A22" s="11">
        <v>0.26748842592592592</v>
      </c>
      <c r="B22" s="13">
        <v>9990031.1449999996</v>
      </c>
      <c r="C22" s="13">
        <f t="shared" si="0"/>
        <v>9999999.003114501</v>
      </c>
      <c r="D22" s="16">
        <f t="shared" si="1"/>
        <v>5.8279987424612045E-3</v>
      </c>
    </row>
    <row r="23" spans="1:4" x14ac:dyDescent="0.2">
      <c r="A23" s="11">
        <v>0.26748842592592592</v>
      </c>
      <c r="B23" s="13">
        <v>9990195.1209999993</v>
      </c>
      <c r="C23" s="13">
        <f t="shared" si="0"/>
        <v>9999999.0195121001</v>
      </c>
      <c r="D23" s="16">
        <f t="shared" si="1"/>
        <v>-1.6397599130868912E-2</v>
      </c>
    </row>
    <row r="24" spans="1:4" x14ac:dyDescent="0.2">
      <c r="A24" s="11">
        <v>0.26748842592592592</v>
      </c>
      <c r="B24" s="13">
        <v>9990155.0779999997</v>
      </c>
      <c r="C24" s="13">
        <f t="shared" si="0"/>
        <v>9999999.0155078005</v>
      </c>
      <c r="D24" s="16">
        <f t="shared" si="1"/>
        <v>4.0042996406555176E-3</v>
      </c>
    </row>
    <row r="25" spans="1:4" x14ac:dyDescent="0.2">
      <c r="A25" s="11">
        <v>0.26748842592592592</v>
      </c>
      <c r="B25" s="13">
        <v>9989672.8680000007</v>
      </c>
      <c r="C25" s="13">
        <f t="shared" si="0"/>
        <v>9999998.9672867991</v>
      </c>
      <c r="D25" s="16">
        <f t="shared" si="1"/>
        <v>4.8221001401543617E-2</v>
      </c>
    </row>
    <row r="26" spans="1:4" x14ac:dyDescent="0.2">
      <c r="A26" s="11">
        <v>0.26748842592592592</v>
      </c>
      <c r="B26" s="13">
        <v>9990045.5380000006</v>
      </c>
      <c r="C26" s="13">
        <f t="shared" si="0"/>
        <v>9999999.0045538004</v>
      </c>
      <c r="D26" s="16">
        <f t="shared" si="1"/>
        <v>-3.726700134575367E-2</v>
      </c>
    </row>
    <row r="27" spans="1:4" x14ac:dyDescent="0.2">
      <c r="A27" s="11">
        <v>0.26748842592592592</v>
      </c>
      <c r="B27" s="13">
        <v>9990140.5500000007</v>
      </c>
      <c r="C27" s="13">
        <f t="shared" si="0"/>
        <v>9999999.0140550006</v>
      </c>
      <c r="D27" s="16">
        <f t="shared" si="1"/>
        <v>-9.5012001693248749E-3</v>
      </c>
    </row>
    <row r="28" spans="1:4" x14ac:dyDescent="0.2">
      <c r="A28" s="11">
        <v>0.26748842592592592</v>
      </c>
      <c r="B28" s="13">
        <v>9989740.0730000008</v>
      </c>
      <c r="C28" s="13">
        <f t="shared" si="0"/>
        <v>9999998.974007301</v>
      </c>
      <c r="D28" s="16">
        <f t="shared" si="1"/>
        <v>4.0047699585556984E-2</v>
      </c>
    </row>
    <row r="29" spans="1:4" x14ac:dyDescent="0.2">
      <c r="A29" s="11">
        <v>0.26748842592592592</v>
      </c>
      <c r="B29" s="13">
        <v>9990237.2949999999</v>
      </c>
      <c r="C29" s="13">
        <f t="shared" si="0"/>
        <v>9999999.0237294994</v>
      </c>
      <c r="D29" s="16">
        <f t="shared" si="1"/>
        <v>-4.9722198396921158E-2</v>
      </c>
    </row>
    <row r="30" spans="1:4" x14ac:dyDescent="0.2">
      <c r="A30" s="11">
        <v>0.26748842592592592</v>
      </c>
      <c r="B30" s="13">
        <v>9990043.2420000006</v>
      </c>
      <c r="C30" s="13">
        <f t="shared" si="0"/>
        <v>9999999.0043241996</v>
      </c>
      <c r="D30" s="16">
        <f t="shared" si="1"/>
        <v>1.9405299797654152E-2</v>
      </c>
    </row>
    <row r="31" spans="1:4" x14ac:dyDescent="0.2">
      <c r="A31" s="11">
        <v>0.26748842592592592</v>
      </c>
      <c r="B31" s="13">
        <v>9989795.7310000006</v>
      </c>
      <c r="C31" s="13">
        <f t="shared" si="0"/>
        <v>9999998.9795731008</v>
      </c>
      <c r="D31" s="16">
        <f t="shared" si="1"/>
        <v>2.4751098826527596E-2</v>
      </c>
    </row>
    <row r="32" spans="1:4" x14ac:dyDescent="0.2">
      <c r="A32" s="11">
        <v>0.26748842592592592</v>
      </c>
      <c r="B32" s="13">
        <v>9990068.4389999993</v>
      </c>
      <c r="C32" s="13">
        <f t="shared" si="0"/>
        <v>9999999.0068439003</v>
      </c>
      <c r="D32" s="16">
        <f t="shared" si="1"/>
        <v>-2.727079950273037E-2</v>
      </c>
    </row>
    <row r="33" spans="1:4" x14ac:dyDescent="0.2">
      <c r="A33" s="11">
        <v>0.26748842592592592</v>
      </c>
      <c r="B33" s="13">
        <v>9990344.7469999995</v>
      </c>
      <c r="C33" s="13">
        <f t="shared" si="0"/>
        <v>9999999.0344747007</v>
      </c>
      <c r="D33" s="16">
        <f t="shared" si="1"/>
        <v>-2.7630800381302834E-2</v>
      </c>
    </row>
    <row r="34" spans="1:4" x14ac:dyDescent="0.2">
      <c r="A34" s="11">
        <v>0.26748842592592592</v>
      </c>
      <c r="B34" s="13">
        <v>9989807.8279999997</v>
      </c>
      <c r="C34" s="13">
        <f t="shared" si="0"/>
        <v>9999998.9807828013</v>
      </c>
      <c r="D34" s="16">
        <f t="shared" si="1"/>
        <v>5.369189940392971E-2</v>
      </c>
    </row>
    <row r="35" spans="1:4" x14ac:dyDescent="0.2">
      <c r="A35" s="11">
        <v>0.26750000000000002</v>
      </c>
      <c r="B35" s="13">
        <v>9989914.2750000004</v>
      </c>
      <c r="C35" s="13">
        <f t="shared" si="0"/>
        <v>9999998.9914274998</v>
      </c>
      <c r="D35" s="16">
        <f t="shared" si="1"/>
        <v>-1.0644698515534401E-2</v>
      </c>
    </row>
    <row r="36" spans="1:4" x14ac:dyDescent="0.2">
      <c r="A36" s="11">
        <v>0.26750000000000002</v>
      </c>
      <c r="B36" s="13">
        <v>9990275.5979999993</v>
      </c>
      <c r="C36" s="13">
        <f t="shared" si="0"/>
        <v>9999999.0275598001</v>
      </c>
      <c r="D36" s="16">
        <f t="shared" si="1"/>
        <v>-3.6132300272583961E-2</v>
      </c>
    </row>
    <row r="37" spans="1:4" x14ac:dyDescent="0.2">
      <c r="A37" s="11">
        <v>0.26750000000000002</v>
      </c>
      <c r="B37" s="13">
        <v>9989769.3320000004</v>
      </c>
      <c r="C37" s="13">
        <f t="shared" si="0"/>
        <v>9999998.9769331999</v>
      </c>
      <c r="D37" s="16">
        <f t="shared" si="1"/>
        <v>5.0626600161194801E-2</v>
      </c>
    </row>
    <row r="38" spans="1:4" x14ac:dyDescent="0.2">
      <c r="A38" s="11">
        <v>0.26750000000000002</v>
      </c>
      <c r="B38" s="13">
        <v>9990053.7890000008</v>
      </c>
      <c r="C38" s="13">
        <f t="shared" si="0"/>
        <v>9999999.0053789001</v>
      </c>
      <c r="D38" s="16">
        <f t="shared" si="1"/>
        <v>-2.844570018351078E-2</v>
      </c>
    </row>
    <row r="41" spans="1:4" x14ac:dyDescent="0.2">
      <c r="B41" s="3" t="s">
        <v>15</v>
      </c>
      <c r="C41" s="13">
        <f>IF(ISBLANK(ZNNbMesures),,AVERAGE(_1ZNPlageFReelle))</f>
        <v>9999999.0019477047</v>
      </c>
    </row>
    <row r="43" spans="1:4" x14ac:dyDescent="0.2">
      <c r="B43" s="3" t="s">
        <v>17</v>
      </c>
      <c r="C43" s="5" t="e">
        <f ca="1">[1]!Cal_variance(SUMSQ(_1ZNDeltaF),ZNNbMesures,ZNFreqMoyReel)</f>
        <v>#NAME?</v>
      </c>
    </row>
    <row r="45" spans="1:4" x14ac:dyDescent="0.2">
      <c r="B45" s="3" t="s">
        <v>4</v>
      </c>
      <c r="C45" s="5" t="e">
        <f ca="1">IF(ISBLANK(ZNVariance),,[1]!Cal_ecart_type(ZNVariance))</f>
        <v>#NAME?</v>
      </c>
    </row>
    <row r="47" spans="1:4" x14ac:dyDescent="0.2">
      <c r="B47" s="3" t="s">
        <v>5</v>
      </c>
      <c r="C47" s="5" t="e">
        <f ca="1">IF(ISBLANK(ZNNbMesures),,[1]!Cal_incert_ecart_type(ZNVariance,ZNNbMesures))</f>
        <v>#NAME?</v>
      </c>
    </row>
    <row r="49" spans="2:3" x14ac:dyDescent="0.2">
      <c r="B49" s="3" t="s">
        <v>11</v>
      </c>
      <c r="C49" s="12">
        <v>9999999.9999996722</v>
      </c>
    </row>
    <row r="51" spans="2:3" x14ac:dyDescent="0.2">
      <c r="B51" s="3" t="s">
        <v>12</v>
      </c>
      <c r="C51" s="12" t="e">
        <f ca="1">IF(ISBLANK(ZNFreqMoyReel),,[1]!Cal_freq_corrigee(ZNFreqMoyReel,ZNFreqRef))</f>
        <v>#NAME?</v>
      </c>
    </row>
    <row r="53" spans="2:3" x14ac:dyDescent="0.2">
      <c r="B53" s="3" t="s">
        <v>13</v>
      </c>
      <c r="C53" s="6">
        <v>0</v>
      </c>
    </row>
    <row r="55" spans="2:3" x14ac:dyDescent="0.2">
      <c r="B55" s="3" t="s">
        <v>6</v>
      </c>
      <c r="C55" s="6">
        <v>0</v>
      </c>
    </row>
    <row r="57" spans="2:3" x14ac:dyDescent="0.2">
      <c r="B57" s="3" t="s">
        <v>7</v>
      </c>
      <c r="C57" s="6">
        <f>IF(ISBLANK(ZNCoeffB),,(IF(ISBLANK(ZNFreqMoyReel),,ZNCoeffB/ZNFreqMoyReel+ZNCoeffA)))</f>
        <v>1.3999999999999999E-9</v>
      </c>
    </row>
    <row r="59" spans="2:3" x14ac:dyDescent="0.2">
      <c r="B59" s="3" t="s">
        <v>14</v>
      </c>
      <c r="C59" s="6" t="e">
        <f ca="1">IF(A2="Stabilité",SQRT(POWER(ZNIncertAccreditee,2)+POWER(ZNIncertEcartType,2)),ZNIncertGlobNONStab)</f>
        <v>#NAME?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389</vt:i4>
      </vt:variant>
    </vt:vector>
  </HeadingPairs>
  <TitlesOfParts>
    <vt:vector size="401" baseType="lpstr">
      <vt:lpstr>ModFeuille</vt:lpstr>
      <vt:lpstr>Récap.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_10ZNDeltaF</vt:lpstr>
      <vt:lpstr>_10ZNPlageFReelle</vt:lpstr>
      <vt:lpstr>_1ZNDeltaF</vt:lpstr>
      <vt:lpstr>_1ZNPlageFReelle</vt:lpstr>
      <vt:lpstr>_2ZNDeltaF</vt:lpstr>
      <vt:lpstr>_2ZNPlageFReelle</vt:lpstr>
      <vt:lpstr>_3ZNDeltaF</vt:lpstr>
      <vt:lpstr>_3ZNPlageFReelle</vt:lpstr>
      <vt:lpstr>_4ZNDeltaF</vt:lpstr>
      <vt:lpstr>_4ZNPlageFReelle</vt:lpstr>
      <vt:lpstr>_5ZNDeltaF</vt:lpstr>
      <vt:lpstr>_5ZNPlageFReelle</vt:lpstr>
      <vt:lpstr>_6ZNDeltaF</vt:lpstr>
      <vt:lpstr>_6ZNPlageFReelle</vt:lpstr>
      <vt:lpstr>_7ZNDeltaF</vt:lpstr>
      <vt:lpstr>_7ZNPlageFReelle</vt:lpstr>
      <vt:lpstr>_8ZNDeltaF</vt:lpstr>
      <vt:lpstr>_8ZNPlageFReelle</vt:lpstr>
      <vt:lpstr>_9ZNDeltaF</vt:lpstr>
      <vt:lpstr>_9ZNPlageFReelle</vt:lpstr>
      <vt:lpstr>'1'!ZNCoeffA</vt:lpstr>
      <vt:lpstr>'10'!ZNCoeffA</vt:lpstr>
      <vt:lpstr>'2'!ZNCoeffA</vt:lpstr>
      <vt:lpstr>'3'!ZNCoeffA</vt:lpstr>
      <vt:lpstr>'4'!ZNCoeffA</vt:lpstr>
      <vt:lpstr>'5'!ZNCoeffA</vt:lpstr>
      <vt:lpstr>'6'!ZNCoeffA</vt:lpstr>
      <vt:lpstr>'7'!ZNCoeffA</vt:lpstr>
      <vt:lpstr>'8'!ZNCoeffA</vt:lpstr>
      <vt:lpstr>'9'!ZNCoeffA</vt:lpstr>
      <vt:lpstr>ZNCoeffA</vt:lpstr>
      <vt:lpstr>'1'!ZNCoeffB</vt:lpstr>
      <vt:lpstr>'10'!ZNCoeffB</vt:lpstr>
      <vt:lpstr>'2'!ZNCoeffB</vt:lpstr>
      <vt:lpstr>'3'!ZNCoeffB</vt:lpstr>
      <vt:lpstr>'4'!ZNCoeffB</vt:lpstr>
      <vt:lpstr>'5'!ZNCoeffB</vt:lpstr>
      <vt:lpstr>'6'!ZNCoeffB</vt:lpstr>
      <vt:lpstr>'7'!ZNCoeffB</vt:lpstr>
      <vt:lpstr>'8'!ZNCoeffB</vt:lpstr>
      <vt:lpstr>'9'!ZNCoeffB</vt:lpstr>
      <vt:lpstr>ZNCoeffB</vt:lpstr>
      <vt:lpstr>'1'!ZNCoeffMult</vt:lpstr>
      <vt:lpstr>'10'!ZNCoeffMult</vt:lpstr>
      <vt:lpstr>'2'!ZNCoeffMult</vt:lpstr>
      <vt:lpstr>'3'!ZNCoeffMult</vt:lpstr>
      <vt:lpstr>'4'!ZNCoeffMult</vt:lpstr>
      <vt:lpstr>'5'!ZNCoeffMult</vt:lpstr>
      <vt:lpstr>'6'!ZNCoeffMult</vt:lpstr>
      <vt:lpstr>'7'!ZNCoeffMult</vt:lpstr>
      <vt:lpstr>'8'!ZNCoeffMult</vt:lpstr>
      <vt:lpstr>'9'!ZNCoeffMult</vt:lpstr>
      <vt:lpstr>ZNCoeffMult</vt:lpstr>
      <vt:lpstr>'1'!ZNCoeffNbMes</vt:lpstr>
      <vt:lpstr>'10'!ZNCoeffNbMes</vt:lpstr>
      <vt:lpstr>'2'!ZNCoeffNbMes</vt:lpstr>
      <vt:lpstr>'3'!ZNCoeffNbMes</vt:lpstr>
      <vt:lpstr>'4'!ZNCoeffNbMes</vt:lpstr>
      <vt:lpstr>'5'!ZNCoeffNbMes</vt:lpstr>
      <vt:lpstr>'6'!ZNCoeffNbMes</vt:lpstr>
      <vt:lpstr>'7'!ZNCoeffNbMes</vt:lpstr>
      <vt:lpstr>'8'!ZNCoeffNbMes</vt:lpstr>
      <vt:lpstr>'9'!ZNCoeffNbMes</vt:lpstr>
      <vt:lpstr>ZNCoeffNbMes</vt:lpstr>
      <vt:lpstr>'1'!ZNCoeffTempsMesure</vt:lpstr>
      <vt:lpstr>'10'!ZNCoeffTempsMesure</vt:lpstr>
      <vt:lpstr>'2'!ZNCoeffTempsMesure</vt:lpstr>
      <vt:lpstr>'3'!ZNCoeffTempsMesure</vt:lpstr>
      <vt:lpstr>'4'!ZNCoeffTempsMesure</vt:lpstr>
      <vt:lpstr>'5'!ZNCoeffTempsMesure</vt:lpstr>
      <vt:lpstr>'6'!ZNCoeffTempsMesure</vt:lpstr>
      <vt:lpstr>'7'!ZNCoeffTempsMesure</vt:lpstr>
      <vt:lpstr>'8'!ZNCoeffTempsMesure</vt:lpstr>
      <vt:lpstr>'9'!ZNCoeffTempsMesure</vt:lpstr>
      <vt:lpstr>ZNCoeffTempsMesure</vt:lpstr>
      <vt:lpstr>'1'!ZNDate</vt:lpstr>
      <vt:lpstr>'10'!ZNDate</vt:lpstr>
      <vt:lpstr>'2'!ZNDate</vt:lpstr>
      <vt:lpstr>'3'!ZNDate</vt:lpstr>
      <vt:lpstr>'4'!ZNDate</vt:lpstr>
      <vt:lpstr>'5'!ZNDate</vt:lpstr>
      <vt:lpstr>'6'!ZNDate</vt:lpstr>
      <vt:lpstr>'7'!ZNDate</vt:lpstr>
      <vt:lpstr>'8'!ZNDate</vt:lpstr>
      <vt:lpstr>'9'!ZNDate</vt:lpstr>
      <vt:lpstr>ZNDate</vt:lpstr>
      <vt:lpstr>ZNDateRecapStab</vt:lpstr>
      <vt:lpstr>'1'!ZNEcartType</vt:lpstr>
      <vt:lpstr>'10'!ZNEcartType</vt:lpstr>
      <vt:lpstr>'2'!ZNEcartType</vt:lpstr>
      <vt:lpstr>'3'!ZNEcartType</vt:lpstr>
      <vt:lpstr>'4'!ZNEcartType</vt:lpstr>
      <vt:lpstr>'5'!ZNEcartType</vt:lpstr>
      <vt:lpstr>'6'!ZNEcartType</vt:lpstr>
      <vt:lpstr>'7'!ZNEcartType</vt:lpstr>
      <vt:lpstr>'8'!ZNEcartType</vt:lpstr>
      <vt:lpstr>'9'!ZNEcartType</vt:lpstr>
      <vt:lpstr>ZNEcartType</vt:lpstr>
      <vt:lpstr>'1'!ZNFNominale</vt:lpstr>
      <vt:lpstr>'10'!ZNFNominale</vt:lpstr>
      <vt:lpstr>'2'!ZNFNominale</vt:lpstr>
      <vt:lpstr>'3'!ZNFNominale</vt:lpstr>
      <vt:lpstr>'4'!ZNFNominale</vt:lpstr>
      <vt:lpstr>'5'!ZNFNominale</vt:lpstr>
      <vt:lpstr>'6'!ZNFNominale</vt:lpstr>
      <vt:lpstr>'7'!ZNFNominale</vt:lpstr>
      <vt:lpstr>'8'!ZNFNominale</vt:lpstr>
      <vt:lpstr>'9'!ZNFNominale</vt:lpstr>
      <vt:lpstr>ZNFNominale</vt:lpstr>
      <vt:lpstr>'1'!ZNFreqCorr</vt:lpstr>
      <vt:lpstr>'10'!ZNFreqCorr</vt:lpstr>
      <vt:lpstr>'2'!ZNFreqCorr</vt:lpstr>
      <vt:lpstr>'3'!ZNFreqCorr</vt:lpstr>
      <vt:lpstr>'4'!ZNFreqCorr</vt:lpstr>
      <vt:lpstr>'5'!ZNFreqCorr</vt:lpstr>
      <vt:lpstr>'6'!ZNFreqCorr</vt:lpstr>
      <vt:lpstr>'7'!ZNFreqCorr</vt:lpstr>
      <vt:lpstr>'8'!ZNFreqCorr</vt:lpstr>
      <vt:lpstr>'9'!ZNFreqCorr</vt:lpstr>
      <vt:lpstr>ZNFreqCorr</vt:lpstr>
      <vt:lpstr>'1'!ZNFreqMoyReel</vt:lpstr>
      <vt:lpstr>'10'!ZNFreqMoyReel</vt:lpstr>
      <vt:lpstr>'2'!ZNFreqMoyReel</vt:lpstr>
      <vt:lpstr>'3'!ZNFreqMoyReel</vt:lpstr>
      <vt:lpstr>'4'!ZNFreqMoyReel</vt:lpstr>
      <vt:lpstr>'5'!ZNFreqMoyReel</vt:lpstr>
      <vt:lpstr>'6'!ZNFreqMoyReel</vt:lpstr>
      <vt:lpstr>'7'!ZNFreqMoyReel</vt:lpstr>
      <vt:lpstr>'8'!ZNFreqMoyReel</vt:lpstr>
      <vt:lpstr>'9'!ZNFreqMoyReel</vt:lpstr>
      <vt:lpstr>ZNFreqMoyReel</vt:lpstr>
      <vt:lpstr>'1'!ZNFreqRef</vt:lpstr>
      <vt:lpstr>'10'!ZNFreqRef</vt:lpstr>
      <vt:lpstr>'2'!ZNFreqRef</vt:lpstr>
      <vt:lpstr>'3'!ZNFreqRef</vt:lpstr>
      <vt:lpstr>'4'!ZNFreqRef</vt:lpstr>
      <vt:lpstr>'5'!ZNFreqRef</vt:lpstr>
      <vt:lpstr>'6'!ZNFreqRef</vt:lpstr>
      <vt:lpstr>'7'!ZNFreqRef</vt:lpstr>
      <vt:lpstr>'8'!ZNFreqRef</vt:lpstr>
      <vt:lpstr>'9'!ZNFreqRef</vt:lpstr>
      <vt:lpstr>ZNFreqRef</vt:lpstr>
      <vt:lpstr>'1'!ZNFreqUtilise</vt:lpstr>
      <vt:lpstr>'10'!ZNFreqUtilise</vt:lpstr>
      <vt:lpstr>'2'!ZNFreqUtilise</vt:lpstr>
      <vt:lpstr>'3'!ZNFreqUtilise</vt:lpstr>
      <vt:lpstr>'4'!ZNFreqUtilise</vt:lpstr>
      <vt:lpstr>'5'!ZNFreqUtilise</vt:lpstr>
      <vt:lpstr>'6'!ZNFreqUtilise</vt:lpstr>
      <vt:lpstr>'7'!ZNFreqUtilise</vt:lpstr>
      <vt:lpstr>'8'!ZNFreqUtilise</vt:lpstr>
      <vt:lpstr>'9'!ZNFreqUtilise</vt:lpstr>
      <vt:lpstr>ZNFreqUtilise</vt:lpstr>
      <vt:lpstr>'1'!ZNGate</vt:lpstr>
      <vt:lpstr>'10'!ZNGate</vt:lpstr>
      <vt:lpstr>'2'!ZNGate</vt:lpstr>
      <vt:lpstr>'3'!ZNGate</vt:lpstr>
      <vt:lpstr>'4'!ZNGate</vt:lpstr>
      <vt:lpstr>'5'!ZNGate</vt:lpstr>
      <vt:lpstr>'6'!ZNGate</vt:lpstr>
      <vt:lpstr>'7'!ZNGate</vt:lpstr>
      <vt:lpstr>'8'!ZNGate</vt:lpstr>
      <vt:lpstr>'9'!ZNGate</vt:lpstr>
      <vt:lpstr>ZNGate</vt:lpstr>
      <vt:lpstr>ZNGrandeValeur</vt:lpstr>
      <vt:lpstr>'1'!ZNIncertAccreditee</vt:lpstr>
      <vt:lpstr>'10'!ZNIncertAccreditee</vt:lpstr>
      <vt:lpstr>'2'!ZNIncertAccreditee</vt:lpstr>
      <vt:lpstr>'3'!ZNIncertAccreditee</vt:lpstr>
      <vt:lpstr>'4'!ZNIncertAccreditee</vt:lpstr>
      <vt:lpstr>'5'!ZNIncertAccreditee</vt:lpstr>
      <vt:lpstr>'6'!ZNIncertAccreditee</vt:lpstr>
      <vt:lpstr>'7'!ZNIncertAccreditee</vt:lpstr>
      <vt:lpstr>'8'!ZNIncertAccreditee</vt:lpstr>
      <vt:lpstr>'9'!ZNIncertAccreditee</vt:lpstr>
      <vt:lpstr>ZNIncertAccreditee</vt:lpstr>
      <vt:lpstr>'1'!ZNIncertEcartType</vt:lpstr>
      <vt:lpstr>'10'!ZNIncertEcartType</vt:lpstr>
      <vt:lpstr>'2'!ZNIncertEcartType</vt:lpstr>
      <vt:lpstr>'3'!ZNIncertEcartType</vt:lpstr>
      <vt:lpstr>'4'!ZNIncertEcartType</vt:lpstr>
      <vt:lpstr>'5'!ZNIncertEcartType</vt:lpstr>
      <vt:lpstr>'6'!ZNIncertEcartType</vt:lpstr>
      <vt:lpstr>'7'!ZNIncertEcartType</vt:lpstr>
      <vt:lpstr>'8'!ZNIncertEcartType</vt:lpstr>
      <vt:lpstr>'9'!ZNIncertEcartType</vt:lpstr>
      <vt:lpstr>ZNIncertEcartType</vt:lpstr>
      <vt:lpstr>'1'!ZNIncertGlobale</vt:lpstr>
      <vt:lpstr>'10'!ZNIncertGlobale</vt:lpstr>
      <vt:lpstr>'2'!ZNIncertGlobale</vt:lpstr>
      <vt:lpstr>'3'!ZNIncertGlobale</vt:lpstr>
      <vt:lpstr>'4'!ZNIncertGlobale</vt:lpstr>
      <vt:lpstr>'5'!ZNIncertGlobale</vt:lpstr>
      <vt:lpstr>'6'!ZNIncertGlobale</vt:lpstr>
      <vt:lpstr>'7'!ZNIncertGlobale</vt:lpstr>
      <vt:lpstr>'8'!ZNIncertGlobale</vt:lpstr>
      <vt:lpstr>'9'!ZNIncertGlobale</vt:lpstr>
      <vt:lpstr>ZNIncertGlobale</vt:lpstr>
      <vt:lpstr>'1'!ZNIncertGlobNONStab</vt:lpstr>
      <vt:lpstr>'10'!ZNIncertGlobNONStab</vt:lpstr>
      <vt:lpstr>'2'!ZNIncertGlobNONStab</vt:lpstr>
      <vt:lpstr>'3'!ZNIncertGlobNONStab</vt:lpstr>
      <vt:lpstr>'4'!ZNIncertGlobNONStab</vt:lpstr>
      <vt:lpstr>'5'!ZNIncertGlobNONStab</vt:lpstr>
      <vt:lpstr>'6'!ZNIncertGlobNONStab</vt:lpstr>
      <vt:lpstr>'7'!ZNIncertGlobNONStab</vt:lpstr>
      <vt:lpstr>'8'!ZNIncertGlobNONStab</vt:lpstr>
      <vt:lpstr>'9'!ZNIncertGlobNONStab</vt:lpstr>
      <vt:lpstr>ZNIncertGlobNONStab</vt:lpstr>
      <vt:lpstr>'1'!ZNIncertResol</vt:lpstr>
      <vt:lpstr>'10'!ZNIncertResol</vt:lpstr>
      <vt:lpstr>'2'!ZNIncertResol</vt:lpstr>
      <vt:lpstr>'3'!ZNIncertResol</vt:lpstr>
      <vt:lpstr>'4'!ZNIncertResol</vt:lpstr>
      <vt:lpstr>'5'!ZNIncertResol</vt:lpstr>
      <vt:lpstr>'6'!ZNIncertResol</vt:lpstr>
      <vt:lpstr>'7'!ZNIncertResol</vt:lpstr>
      <vt:lpstr>'8'!ZNIncertResol</vt:lpstr>
      <vt:lpstr>'9'!ZNIncertResol</vt:lpstr>
      <vt:lpstr>ZNIncertResol</vt:lpstr>
      <vt:lpstr>'1'!ZNIncertSup</vt:lpstr>
      <vt:lpstr>'10'!ZNIncertSup</vt:lpstr>
      <vt:lpstr>'2'!ZNIncertSup</vt:lpstr>
      <vt:lpstr>'3'!ZNIncertSup</vt:lpstr>
      <vt:lpstr>'4'!ZNIncertSup</vt:lpstr>
      <vt:lpstr>'5'!ZNIncertSup</vt:lpstr>
      <vt:lpstr>'6'!ZNIncertSup</vt:lpstr>
      <vt:lpstr>'7'!ZNIncertSup</vt:lpstr>
      <vt:lpstr>'8'!ZNIncertSup</vt:lpstr>
      <vt:lpstr>'9'!ZNIncertSup</vt:lpstr>
      <vt:lpstr>ZNIncertSup</vt:lpstr>
      <vt:lpstr>'1'!ZNLibGate</vt:lpstr>
      <vt:lpstr>'10'!ZNLibGate</vt:lpstr>
      <vt:lpstr>'2'!ZNLibGate</vt:lpstr>
      <vt:lpstr>'3'!ZNLibGate</vt:lpstr>
      <vt:lpstr>'4'!ZNLibGate</vt:lpstr>
      <vt:lpstr>'5'!ZNLibGate</vt:lpstr>
      <vt:lpstr>'6'!ZNLibGate</vt:lpstr>
      <vt:lpstr>'7'!ZNLibGate</vt:lpstr>
      <vt:lpstr>'8'!ZNLibGate</vt:lpstr>
      <vt:lpstr>'9'!ZNLibGate</vt:lpstr>
      <vt:lpstr>ZNLibGate</vt:lpstr>
      <vt:lpstr>'1'!ZNMesure1</vt:lpstr>
      <vt:lpstr>'10'!ZNMesure1</vt:lpstr>
      <vt:lpstr>'2'!ZNMesure1</vt:lpstr>
      <vt:lpstr>'3'!ZNMesure1</vt:lpstr>
      <vt:lpstr>'4'!ZNMesure1</vt:lpstr>
      <vt:lpstr>'5'!ZNMesure1</vt:lpstr>
      <vt:lpstr>'6'!ZNMesure1</vt:lpstr>
      <vt:lpstr>'7'!ZNMesure1</vt:lpstr>
      <vt:lpstr>'8'!ZNMesure1</vt:lpstr>
      <vt:lpstr>'9'!ZNMesure1</vt:lpstr>
      <vt:lpstr>ZNMesure1</vt:lpstr>
      <vt:lpstr>'1'!ZNMesure2</vt:lpstr>
      <vt:lpstr>'10'!ZNMesure2</vt:lpstr>
      <vt:lpstr>'2'!ZNMesure2</vt:lpstr>
      <vt:lpstr>'3'!ZNMesure2</vt:lpstr>
      <vt:lpstr>'4'!ZNMesure2</vt:lpstr>
      <vt:lpstr>'5'!ZNMesure2</vt:lpstr>
      <vt:lpstr>'6'!ZNMesure2</vt:lpstr>
      <vt:lpstr>'7'!ZNMesure2</vt:lpstr>
      <vt:lpstr>'8'!ZNMesure2</vt:lpstr>
      <vt:lpstr>'9'!ZNMesure2</vt:lpstr>
      <vt:lpstr>ZNMesure2</vt:lpstr>
      <vt:lpstr>'1'!ZNModeMesure</vt:lpstr>
      <vt:lpstr>'10'!ZNModeMesure</vt:lpstr>
      <vt:lpstr>'2'!ZNModeMesure</vt:lpstr>
      <vt:lpstr>'3'!ZNModeMesure</vt:lpstr>
      <vt:lpstr>'4'!ZNModeMesure</vt:lpstr>
      <vt:lpstr>'5'!ZNModeMesure</vt:lpstr>
      <vt:lpstr>'6'!ZNModeMesure</vt:lpstr>
      <vt:lpstr>'7'!ZNModeMesure</vt:lpstr>
      <vt:lpstr>'8'!ZNModeMesure</vt:lpstr>
      <vt:lpstr>'9'!ZNModeMesure</vt:lpstr>
      <vt:lpstr>ZNModeMesure</vt:lpstr>
      <vt:lpstr>'1'!ZNNbMesAccredite</vt:lpstr>
      <vt:lpstr>'10'!ZNNbMesAccredite</vt:lpstr>
      <vt:lpstr>'2'!ZNNbMesAccredite</vt:lpstr>
      <vt:lpstr>'3'!ZNNbMesAccredite</vt:lpstr>
      <vt:lpstr>'4'!ZNNbMesAccredite</vt:lpstr>
      <vt:lpstr>'5'!ZNNbMesAccredite</vt:lpstr>
      <vt:lpstr>'6'!ZNNbMesAccredite</vt:lpstr>
      <vt:lpstr>'7'!ZNNbMesAccredite</vt:lpstr>
      <vt:lpstr>'8'!ZNNbMesAccredite</vt:lpstr>
      <vt:lpstr>'9'!ZNNbMesAccredite</vt:lpstr>
      <vt:lpstr>ZNNbMesAccredite</vt:lpstr>
      <vt:lpstr>'1'!ZNNbMesures</vt:lpstr>
      <vt:lpstr>'10'!ZNNbMesures</vt:lpstr>
      <vt:lpstr>'2'!ZNNbMesures</vt:lpstr>
      <vt:lpstr>'3'!ZNNbMesures</vt:lpstr>
      <vt:lpstr>'4'!ZNNbMesures</vt:lpstr>
      <vt:lpstr>'5'!ZNNbMesures</vt:lpstr>
      <vt:lpstr>'6'!ZNNbMesures</vt:lpstr>
      <vt:lpstr>'7'!ZNNbMesures</vt:lpstr>
      <vt:lpstr>'8'!ZNNbMesures</vt:lpstr>
      <vt:lpstr>'9'!ZNNbMesures</vt:lpstr>
      <vt:lpstr>ZNNbMesures</vt:lpstr>
      <vt:lpstr>'1'!ZNNoFiche</vt:lpstr>
      <vt:lpstr>'10'!ZNNoFiche</vt:lpstr>
      <vt:lpstr>'2'!ZNNoFiche</vt:lpstr>
      <vt:lpstr>'3'!ZNNoFiche</vt:lpstr>
      <vt:lpstr>'4'!ZNNoFiche</vt:lpstr>
      <vt:lpstr>'5'!ZNNoFiche</vt:lpstr>
      <vt:lpstr>'6'!ZNNoFiche</vt:lpstr>
      <vt:lpstr>'7'!ZNNoFiche</vt:lpstr>
      <vt:lpstr>'8'!ZNNoFiche</vt:lpstr>
      <vt:lpstr>'9'!ZNNoFiche</vt:lpstr>
      <vt:lpstr>ZNNoFiche</vt:lpstr>
      <vt:lpstr>ZNNoFicheRecapStab</vt:lpstr>
      <vt:lpstr>ZNPetiteValeur</vt:lpstr>
      <vt:lpstr>'1'!ZNPointInsertion</vt:lpstr>
      <vt:lpstr>'10'!ZNPointInsertion</vt:lpstr>
      <vt:lpstr>'2'!ZNPointInsertion</vt:lpstr>
      <vt:lpstr>'3'!ZNPointInsertion</vt:lpstr>
      <vt:lpstr>'4'!ZNPointInsertion</vt:lpstr>
      <vt:lpstr>'5'!ZNPointInsertion</vt:lpstr>
      <vt:lpstr>'6'!ZNPointInsertion</vt:lpstr>
      <vt:lpstr>'7'!ZNPointInsertion</vt:lpstr>
      <vt:lpstr>'8'!ZNPointInsertion</vt:lpstr>
      <vt:lpstr>'9'!ZNPointInsertion</vt:lpstr>
      <vt:lpstr>ZNPointInsertion</vt:lpstr>
      <vt:lpstr>ZNRecapS_DebZone</vt:lpstr>
      <vt:lpstr>ZNRecapS_Ligne0</vt:lpstr>
      <vt:lpstr>'1'!ZNRubidium</vt:lpstr>
      <vt:lpstr>'10'!ZNRubidium</vt:lpstr>
      <vt:lpstr>'2'!ZNRubidium</vt:lpstr>
      <vt:lpstr>'3'!ZNRubidium</vt:lpstr>
      <vt:lpstr>'4'!ZNRubidium</vt:lpstr>
      <vt:lpstr>'5'!ZNRubidium</vt:lpstr>
      <vt:lpstr>'6'!ZNRubidium</vt:lpstr>
      <vt:lpstr>'7'!ZNRubidium</vt:lpstr>
      <vt:lpstr>'8'!ZNRubidium</vt:lpstr>
      <vt:lpstr>'9'!ZNRubidium</vt:lpstr>
      <vt:lpstr>ZNRubidium</vt:lpstr>
      <vt:lpstr>'1'!ZNTempsMesureAccredite</vt:lpstr>
      <vt:lpstr>'10'!ZNTempsMesureAccredite</vt:lpstr>
      <vt:lpstr>'2'!ZNTempsMesureAccredite</vt:lpstr>
      <vt:lpstr>'3'!ZNTempsMesureAccredite</vt:lpstr>
      <vt:lpstr>'4'!ZNTempsMesureAccredite</vt:lpstr>
      <vt:lpstr>'5'!ZNTempsMesureAccredite</vt:lpstr>
      <vt:lpstr>'6'!ZNTempsMesureAccredite</vt:lpstr>
      <vt:lpstr>'7'!ZNTempsMesureAccredite</vt:lpstr>
      <vt:lpstr>'8'!ZNTempsMesureAccredite</vt:lpstr>
      <vt:lpstr>'9'!ZNTempsMesureAccredite</vt:lpstr>
      <vt:lpstr>ZNTempsMesureAccredite</vt:lpstr>
      <vt:lpstr>'1'!ZNTypeMesure</vt:lpstr>
      <vt:lpstr>'10'!ZNTypeMesure</vt:lpstr>
      <vt:lpstr>'2'!ZNTypeMesure</vt:lpstr>
      <vt:lpstr>'3'!ZNTypeMesure</vt:lpstr>
      <vt:lpstr>'4'!ZNTypeMesure</vt:lpstr>
      <vt:lpstr>'5'!ZNTypeMesure</vt:lpstr>
      <vt:lpstr>'6'!ZNTypeMesure</vt:lpstr>
      <vt:lpstr>'7'!ZNTypeMesure</vt:lpstr>
      <vt:lpstr>'8'!ZNTypeMesure</vt:lpstr>
      <vt:lpstr>'9'!ZNTypeMesure</vt:lpstr>
      <vt:lpstr>ZNTypeMesure</vt:lpstr>
      <vt:lpstr>'1'!ZNValFNominale</vt:lpstr>
      <vt:lpstr>'10'!ZNValFNominale</vt:lpstr>
      <vt:lpstr>'2'!ZNValFNominale</vt:lpstr>
      <vt:lpstr>'3'!ZNValFNominale</vt:lpstr>
      <vt:lpstr>'4'!ZNValFNominale</vt:lpstr>
      <vt:lpstr>'5'!ZNValFNominale</vt:lpstr>
      <vt:lpstr>'6'!ZNValFNominale</vt:lpstr>
      <vt:lpstr>'7'!ZNValFNominale</vt:lpstr>
      <vt:lpstr>'8'!ZNValFNominale</vt:lpstr>
      <vt:lpstr>'9'!ZNValFNominale</vt:lpstr>
      <vt:lpstr>ZNValFNominale</vt:lpstr>
      <vt:lpstr>'1'!ZNValGateSecondes</vt:lpstr>
      <vt:lpstr>'10'!ZNValGateSecondes</vt:lpstr>
      <vt:lpstr>'2'!ZNValGateSecondes</vt:lpstr>
      <vt:lpstr>'3'!ZNValGateSecondes</vt:lpstr>
      <vt:lpstr>'4'!ZNValGateSecondes</vt:lpstr>
      <vt:lpstr>'5'!ZNValGateSecondes</vt:lpstr>
      <vt:lpstr>'6'!ZNValGateSecondes</vt:lpstr>
      <vt:lpstr>'7'!ZNValGateSecondes</vt:lpstr>
      <vt:lpstr>'8'!ZNValGateSecondes</vt:lpstr>
      <vt:lpstr>'9'!ZNValGateSecondes</vt:lpstr>
      <vt:lpstr>ZNValGateSecondes</vt:lpstr>
      <vt:lpstr>'1'!ZNVariance</vt:lpstr>
      <vt:lpstr>'10'!ZNVariance</vt:lpstr>
      <vt:lpstr>'2'!ZNVariance</vt:lpstr>
      <vt:lpstr>'3'!ZNVariance</vt:lpstr>
      <vt:lpstr>'4'!ZNVariance</vt:lpstr>
      <vt:lpstr>'5'!ZNVariance</vt:lpstr>
      <vt:lpstr>'6'!ZNVariance</vt:lpstr>
      <vt:lpstr>'7'!ZNVariance</vt:lpstr>
      <vt:lpstr>'8'!ZNVariance</vt:lpstr>
      <vt:lpstr>'9'!ZNVariance</vt:lpstr>
      <vt:lpstr>ZNVariance</vt:lpstr>
    </vt:vector>
  </TitlesOfParts>
  <Company>E2M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</dc:creator>
  <cp:lastModifiedBy>THE G</cp:lastModifiedBy>
  <cp:lastPrinted>2008-04-01T06:20:02Z</cp:lastPrinted>
  <dcterms:created xsi:type="dcterms:W3CDTF">2008-04-01T05:57:58Z</dcterms:created>
  <dcterms:modified xsi:type="dcterms:W3CDTF">2026-06-02T12:03:07Z</dcterms:modified>
</cp:coreProperties>
</file>