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LB\AppData\Local\Temp\"/>
    </mc:Choice>
  </mc:AlternateContent>
  <xr:revisionPtr revIDLastSave="0" documentId="8_{73B2912E-87AB-437C-9233-2DE26FAABC6C}" xr6:coauthVersionLast="47" xr6:coauthVersionMax="47" xr10:uidLastSave="{00000000-0000-0000-0000-000000000000}"/>
  <bookViews>
    <workbookView xWindow="2115" yWindow="2835" windowWidth="38700" windowHeight="15225" firstSheet="1" activeTab="1" xr2:uid="{303121C9-76B8-429B-A36D-204A9257044A}"/>
  </bookViews>
  <sheets>
    <sheet name="ModFeuille" sheetId="1" state="hidden" r:id="rId1"/>
    <sheet name="Récap." sheetId="3" r:id="rId2"/>
  </sheets>
  <functionGroups builtInGroupCount="19"/>
  <externalReferences>
    <externalReference r:id="rId3"/>
  </externalReferences>
  <definedNames>
    <definedName name="_10ZNDeltaF">#REF!</definedName>
    <definedName name="_10ZNPlageFReelle">#REF!</definedName>
    <definedName name="_1ZNDeltaF">#REF!</definedName>
    <definedName name="_1ZNPlageFReelle">#REF!</definedName>
    <definedName name="_2ZNDeltaF">#REF!</definedName>
    <definedName name="_2ZNPlageFReelle">#REF!</definedName>
    <definedName name="_3ZNDeltaF">#REF!</definedName>
    <definedName name="_3ZNPlageFReelle">#REF!</definedName>
    <definedName name="_4ZNDeltaF">#REF!</definedName>
    <definedName name="_4ZNPlageFReelle">#REF!</definedName>
    <definedName name="_5ZNDeltaF">#REF!</definedName>
    <definedName name="_5ZNPlageFReelle">#REF!</definedName>
    <definedName name="_6ZNDeltaF">#REF!</definedName>
    <definedName name="_6ZNPlageFReelle">#REF!</definedName>
    <definedName name="_7ZNDeltaF">#REF!</definedName>
    <definedName name="_7ZNPlageFReelle">#REF!</definedName>
    <definedName name="_8ZNDeltaF">#REF!</definedName>
    <definedName name="_8ZNPlageFReelle">#REF!</definedName>
    <definedName name="_9ZNDeltaF">#REF!</definedName>
    <definedName name="_9ZNPlageFReelle">#REF!</definedName>
    <definedName name="ZNCoeffA">ModFeuille!$F$2</definedName>
    <definedName name="ZNCoeffADerive">#REF!</definedName>
    <definedName name="ZNCoeffB">ModFeuille!$F$3</definedName>
    <definedName name="ZNCoeffBDerive">#REF!</definedName>
    <definedName name="ZNCoeffDeriveJournaliere">#REF!</definedName>
    <definedName name="ZNCoeffMult">ModFeuille!$D$4</definedName>
    <definedName name="ZNCoeffNbMes">ModFeuille!$F$7</definedName>
    <definedName name="ZNCoeffTempsMesure">ModFeuille!$F$8</definedName>
    <definedName name="ZNCyclesDerive">#REF!</definedName>
    <definedName name="ZNDate">ModFeuille!$C$1</definedName>
    <definedName name="ZNDateRecapDerive">#REF!</definedName>
    <definedName name="ZNDateRecapFreq">#REF!</definedName>
    <definedName name="ZNDateRecapStab">'Récap.'!$D$1</definedName>
    <definedName name="ZNDeriveJournaliere">#REF!</definedName>
    <definedName name="ZNEcartType">ModFeuille!$C$17</definedName>
    <definedName name="ZNFNominale">ModFeuille!$C$5</definedName>
    <definedName name="ZNFreqCorr">ModFeuille!$C$23</definedName>
    <definedName name="ZNFreqLisseeDerive">#REF!</definedName>
    <definedName name="ZNFreqMoyReel">ModFeuille!$C$13</definedName>
    <definedName name="ZNFreqRef">ModFeuille!$C$21</definedName>
    <definedName name="ZNFrequencesMoyennesDerive">#REF!</definedName>
    <definedName name="ZNFreqUtilise">ModFeuille!$C$2</definedName>
    <definedName name="ZNGate">ModFeuille!$C$3</definedName>
    <definedName name="ZNGrandeValeur">'Récap.'!$G$19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>ModFeuille!$C$29</definedName>
    <definedName name="ZNIncertEcartType">ModFeuille!$C$19</definedName>
    <definedName name="ZNIncertGlobale">ModFeuille!$C$31</definedName>
    <definedName name="ZNIncertGlobNONStab">ModFeuille!$F$9</definedName>
    <definedName name="ZNIncertRecapDerive">#REF!</definedName>
    <definedName name="ZNIncertResol">ModFeuille!$C$25</definedName>
    <definedName name="ZNIncertSup">ModFeuille!$C$27</definedName>
    <definedName name="ZNInfosFinales">#REF!</definedName>
    <definedName name="ZNLibGate">ModFeuille!$D$3</definedName>
    <definedName name="ZNMaxFreqDerive">#REF!</definedName>
    <definedName name="ZNMesure1">ModFeuille!$9:$9</definedName>
    <definedName name="ZNMesure2">ModFeuille!$10:$10</definedName>
    <definedName name="ZNMinFreqDerive">#REF!</definedName>
    <definedName name="ZNModeMesure">ModFeuille!$C$4</definedName>
    <definedName name="ZNNbMesAccredite">ModFeuille!$F$5</definedName>
    <definedName name="ZNNbMesures">ModFeuille!$A$5</definedName>
    <definedName name="ZNNoFiche">ModFeuille!$B$1</definedName>
    <definedName name="ZNNoFicheRecapDerive">#REF!</definedName>
    <definedName name="ZNNoFicheRecapFreq">#REF!</definedName>
    <definedName name="ZNNoFicheRecapStab">'Récap.'!$B$1</definedName>
    <definedName name="ZNPetiteValeur">'Récap.'!$H$19</definedName>
    <definedName name="ZNPointInsertion">ModFeuille!$A$11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#REF!</definedName>
    <definedName name="ZNRecapF_Ligne0">#REF!</definedName>
    <definedName name="ZNRecapF_NbMes">#REF!</definedName>
    <definedName name="ZNRecapS_DebZone">'Récap.'!$A$16</definedName>
    <definedName name="ZNRecapS_Ligne0">'Récap.'!$5:$5</definedName>
    <definedName name="ZNRubidium">ModFeuille!$B$3</definedName>
    <definedName name="ZNTempsMesureAccredite">ModFeuille!$F$6</definedName>
    <definedName name="ZNTypeMesure">ModFeuille!$A$2</definedName>
    <definedName name="ZNValFNominale">ModFeuille!$D$5</definedName>
    <definedName name="ZNValGateSecondes">ModFeuille!$F$4</definedName>
    <definedName name="ZNVariance">ModFeuille!$C$15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H5" i="3"/>
  <c r="I5" i="3"/>
  <c r="A6" i="3"/>
  <c r="B6" i="3"/>
  <c r="C6" i="3"/>
  <c r="D6" i="3"/>
  <c r="A7" i="3"/>
  <c r="B7" i="3"/>
  <c r="C7" i="3"/>
  <c r="D7" i="3"/>
  <c r="A8" i="3"/>
  <c r="B8" i="3"/>
  <c r="C8" i="3"/>
  <c r="D8" i="3"/>
  <c r="A9" i="3"/>
  <c r="B9" i="3"/>
  <c r="C9" i="3"/>
  <c r="D9" i="3"/>
  <c r="A10" i="3"/>
  <c r="B10" i="3"/>
  <c r="C10" i="3"/>
  <c r="D10" i="3"/>
  <c r="A11" i="3"/>
  <c r="B11" i="3"/>
  <c r="C11" i="3"/>
  <c r="D11" i="3"/>
  <c r="A12" i="3"/>
  <c r="B12" i="3"/>
  <c r="C12" i="3"/>
  <c r="D12" i="3"/>
  <c r="A13" i="3"/>
  <c r="B13" i="3"/>
  <c r="C13" i="3"/>
  <c r="D13" i="3"/>
  <c r="A14" i="3"/>
  <c r="B14" i="3"/>
  <c r="C14" i="3"/>
  <c r="D14" i="3"/>
  <c r="A15" i="3"/>
  <c r="B15" i="3"/>
  <c r="C15" i="3"/>
  <c r="D15" i="3"/>
  <c r="F7" i="1"/>
  <c r="F8" i="1"/>
  <c r="C9" i="1"/>
  <c r="F9" i="1"/>
  <c r="C31" i="1" s="1"/>
  <c r="C10" i="1"/>
  <c r="D10" i="1"/>
  <c r="C17" i="1"/>
  <c r="C19" i="1"/>
  <c r="C23" i="1"/>
  <c r="C29" i="1"/>
  <c r="F7" i="3" l="1"/>
  <c r="F6" i="3"/>
  <c r="E7" i="3"/>
  <c r="E6" i="3"/>
  <c r="H7" i="3"/>
  <c r="G7" i="3"/>
  <c r="I7" i="3"/>
  <c r="F9" i="3"/>
  <c r="F8" i="3"/>
  <c r="E9" i="3"/>
  <c r="E8" i="3"/>
  <c r="F10" i="3"/>
  <c r="F11" i="3"/>
  <c r="E11" i="3"/>
  <c r="E10" i="3"/>
  <c r="E13" i="3"/>
  <c r="E12" i="3"/>
  <c r="F13" i="3"/>
  <c r="F12" i="3"/>
  <c r="E15" i="3"/>
  <c r="E14" i="3"/>
  <c r="F15" i="3"/>
  <c r="F14" i="3"/>
  <c r="I15" i="3"/>
  <c r="H6" i="3" l="1"/>
  <c r="I6" i="3"/>
  <c r="G6" i="3"/>
  <c r="I9" i="3"/>
  <c r="H9" i="3"/>
  <c r="G9" i="3"/>
  <c r="I8" i="3"/>
  <c r="G8" i="3"/>
  <c r="H8" i="3"/>
  <c r="H11" i="3"/>
  <c r="G11" i="3"/>
  <c r="I11" i="3"/>
  <c r="H15" i="3"/>
  <c r="G15" i="3"/>
  <c r="I10" i="3"/>
  <c r="H10" i="3"/>
  <c r="G10" i="3"/>
  <c r="I13" i="3"/>
  <c r="H13" i="3"/>
  <c r="G13" i="3"/>
  <c r="I12" i="3"/>
  <c r="H12" i="3"/>
  <c r="G12" i="3"/>
  <c r="G14" i="3"/>
  <c r="I14" i="3"/>
  <c r="H14" i="3"/>
  <c r="H19" i="3" l="1"/>
  <c r="G19" i="3"/>
</calcChain>
</file>

<file path=xl/sharedStrings.xml><?xml version="1.0" encoding="utf-8"?>
<sst xmlns="http://schemas.openxmlformats.org/spreadsheetml/2006/main" count="38" uniqueCount="36">
  <si>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</si>
  <si>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</si>
  <si>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</si>
  <si>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</si>
  <si>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</si>
  <si>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</si>
  <si>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</si>
  <si>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</si>
  <si>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Incert. globale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</si>
  <si>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</si>
  <si>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</si>
  <si>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</si>
  <si>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</si>
  <si>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</si>
  <si>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</si>
  <si>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</si>
  <si>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</si>
  <si>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</si>
  <si>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Temps (s)</t>
  </si>
  <si>
    <t>Ecart type</t>
  </si>
  <si>
    <t>Incertitude</t>
  </si>
  <si>
    <t>Valeurs Maxi.</t>
  </si>
  <si>
    <t>Valeurs Mini.</t>
  </si>
  <si>
    <t>*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</si>
  <si>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</si>
  <si>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</si>
  <si>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</si>
  <si>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</si>
  <si>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</si>
  <si>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</si>
  <si>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</si>
  <si>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</si>
  <si>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</si>
  <si>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Fréq. Moyenne (Hz)</t>
  </si>
  <si>
    <t>F6_03994</t>
  </si>
  <si>
    <t>Le 31/03/2026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</si>
</sst>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4" formatCode="#,###,###,###,##0.0######"/>
    <numFmt numFmtId="175" formatCode="0.000\ 000\ 000"/>
    <numFmt numFmtId="176" formatCode="0.0000E+00"/>
    <numFmt numFmtId="179" formatCode="[$-F400]h:mm:ss\ AM/PM"/>
    <numFmt numFmtId="183" formatCode="#,##0.0000000"/>
    <numFmt numFmtId="184" formatCode="#,##0.000000000"/>
    <numFmt numFmtId="188" formatCode="0.000000000"/>
    <numFmt numFmtId="195" formatCode="[=0]&quot;&quot;;0.00E+00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10"/>
      <color indexed="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74" fontId="1" fillId="0" borderId="0" xfId="0" applyNumberFormat="1" applyFont="1" applyAlignment="1">
      <alignment horizontal="center"/>
    </xf>
    <xf numFmtId="17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74" fontId="2" fillId="0" borderId="0" xfId="0" applyNumberFormat="1" applyFont="1" applyAlignment="1">
      <alignment horizontal="center"/>
    </xf>
    <xf numFmtId="175" fontId="2" fillId="0" borderId="0" xfId="0" applyNumberFormat="1" applyFont="1" applyAlignment="1">
      <alignment horizontal="center"/>
    </xf>
    <xf numFmtId="179" fontId="1" fillId="0" borderId="0" xfId="0" applyNumberFormat="1" applyFont="1" applyAlignment="1">
      <alignment horizontal="center"/>
    </xf>
    <xf numFmtId="183" fontId="1" fillId="0" borderId="0" xfId="0" applyNumberFormat="1" applyFont="1" applyAlignment="1">
      <alignment horizontal="center"/>
    </xf>
    <xf numFmtId="184" fontId="1" fillId="0" borderId="0" xfId="0" applyNumberFormat="1" applyFont="1" applyAlignment="1">
      <alignment horizontal="center"/>
    </xf>
    <xf numFmtId="174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left" vertical="center"/>
    </xf>
    <xf numFmtId="188" fontId="1" fillId="0" borderId="0" xfId="0" applyNumberFormat="1" applyFont="1" applyAlignment="1">
      <alignment horizontal="center"/>
    </xf>
    <xf numFmtId="17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4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88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84" fontId="1" fillId="0" borderId="0" xfId="0" applyNumberFormat="1" applyFont="1" applyAlignment="1">
      <alignment horizontal="center" vertical="center"/>
    </xf>
    <xf numFmtId="195" fontId="1" fillId="0" borderId="0" xfId="0" applyNumberFormat="1" applyFont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4" fontId="4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STABILITE</a:t>
            </a:r>
          </a:p>
        </c:rich>
      </c:tx>
      <c:layout>
        <c:manualLayout>
          <c:xMode val="edge"/>
          <c:yMode val="edge"/>
          <c:x val="0.4351038642293607"/>
          <c:y val="2.99401197604790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34240807984201"/>
          <c:y val="9.5808569986140971E-2"/>
          <c:w val="0.8097356795833327"/>
          <c:h val="0.69261612052481081"/>
        </c:manualLayout>
      </c:layout>
      <c:lineChart>
        <c:grouping val="standard"/>
        <c:varyColors val="0"/>
        <c:ser>
          <c:idx val="0"/>
          <c:order val="0"/>
          <c:tx>
            <c:strRef>
              <c:f>'Récap.'!$C$3</c:f>
              <c:strCache>
                <c:ptCount val="1"/>
                <c:pt idx="0">
                  <c:v>Ecart type</c:v>
                </c:pt>
              </c:strCache>
            </c:strRef>
          </c:tx>
          <c:spPr>
            <a:ln w="38100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'Récap.'!$C$6:$C$15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F-4F1B-A993-DE9358036186}"/>
            </c:ext>
          </c:extLst>
        </c:ser>
        <c:ser>
          <c:idx val="1"/>
          <c:order val="1"/>
          <c:tx>
            <c:strRef>
              <c:f>'Récap.'!$G$3</c:f>
              <c:strCache>
                <c:ptCount val="1"/>
                <c:pt idx="0">
                  <c:v>Valeurs Maxi.</c:v>
                </c:pt>
              </c:strCache>
            </c:strRef>
          </c:tx>
          <c:spPr>
            <a:ln w="38100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'Récap.'!$G$6:$G$15</c:f>
              <c:numCache>
                <c:formatCode>[=0]"";0.00E+00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CF-4F1B-A993-DE9358036186}"/>
            </c:ext>
          </c:extLst>
        </c:ser>
        <c:ser>
          <c:idx val="2"/>
          <c:order val="2"/>
          <c:tx>
            <c:strRef>
              <c:f>'Récap.'!$H$3</c:f>
              <c:strCache>
                <c:ptCount val="1"/>
                <c:pt idx="0">
                  <c:v>Valeurs Mini.</c:v>
                </c:pt>
              </c:strCache>
            </c:strRef>
          </c:tx>
          <c:spPr>
            <a:ln w="38100">
              <a:noFill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'Récap.'!$H$6:$H$15</c:f>
              <c:numCache>
                <c:formatCode>[=0]"";0.00E+00</c:formatCode>
                <c:ptCount val="10"/>
                <c:pt idx="0">
                  <c:v>9.9999999999999998E-13</c:v>
                </c:pt>
                <c:pt idx="1">
                  <c:v>9.9999999999999998E-13</c:v>
                </c:pt>
                <c:pt idx="2">
                  <c:v>9.9999999999999998E-13</c:v>
                </c:pt>
                <c:pt idx="3">
                  <c:v>9.9999999999999998E-13</c:v>
                </c:pt>
                <c:pt idx="4">
                  <c:v>9.9999999999999998E-13</c:v>
                </c:pt>
                <c:pt idx="5">
                  <c:v>9.9999999999999998E-13</c:v>
                </c:pt>
                <c:pt idx="6">
                  <c:v>9.9999999999999998E-13</c:v>
                </c:pt>
                <c:pt idx="7">
                  <c:v>9.9999999999999998E-13</c:v>
                </c:pt>
                <c:pt idx="8">
                  <c:v>9.9999999999999998E-13</c:v>
                </c:pt>
                <c:pt idx="9">
                  <c:v>9.9999999999999998E-13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CF-4F1B-A993-DE9358036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smooth val="0"/>
        <c:axId val="465668528"/>
        <c:axId val="1"/>
      </c:lineChart>
      <c:catAx>
        <c:axId val="465668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de Mesure (s)</a:t>
                </a:r>
              </a:p>
            </c:rich>
          </c:tx>
          <c:layout>
            <c:manualLayout>
              <c:xMode val="edge"/>
              <c:yMode val="edge"/>
              <c:x val="0.44247849549779728"/>
              <c:y val="0.860281117554916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At val="9.9999999999999998E-13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logBase val="10"/>
          <c:orientation val="minMax"/>
          <c:max val="1E-8"/>
          <c:min val="9.9999999999999998E-13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Stabilité relative</a:t>
                </a:r>
              </a:p>
            </c:rich>
          </c:tx>
          <c:layout>
            <c:manualLayout>
              <c:xMode val="edge"/>
              <c:yMode val="edge"/>
              <c:x val="2.359882005899705E-2"/>
              <c:y val="0.32135791409307368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6566852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746312684365781E-3"/>
          <c:y val="0.86028111755491632"/>
          <c:w val="0.15634233773875611"/>
          <c:h val="0.133732744484783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371475</xdr:colOff>
      <xdr:row>46</xdr:row>
      <xdr:rowOff>76200</xdr:rowOff>
    </xdr:to>
    <xdr:graphicFrame macro="">
      <xdr:nvGraphicFramePr>
        <xdr:cNvPr id="1030" name="GrapheStab">
          <a:extLst>
            <a:ext uri="{FF2B5EF4-FFF2-40B4-BE49-F238E27FC236}">
              <a16:creationId xmlns:a16="http://schemas.microsoft.com/office/drawing/2014/main" id="{650475C4-7D24-613A-5626-058F5FE76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</sheetNames>
    <definedNames>
      <definedName name="Cal_ecart_type"/>
      <definedName name="Cal_freq_corrigee"/>
      <definedName name="Cal_incert_ecart_type"/>
      <definedName name="Cal_incert_globa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FE509-E423-413F-8C38-409E5807F433}">
  <sheetPr codeName="ModeleMesure"/>
  <dimension ref="A1:F31"/>
  <sheetViews>
    <sheetView workbookViewId="0">
      <selection activeCell="E28" sqref="E2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9" customWidth="1"/>
    <col min="6" max="6" width="23" style="18" customWidth="1"/>
    <col min="7" max="16384" width="11.42578125" style="1"/>
  </cols>
  <sheetData>
    <row r="1" spans="1:6" x14ac:dyDescent="0.2">
      <c r="A1" s="7" t="s">
        <v>9</v>
      </c>
      <c r="B1" s="15"/>
      <c r="C1" s="16"/>
    </row>
    <row r="2" spans="1:6" x14ac:dyDescent="0.2">
      <c r="A2" s="2"/>
      <c r="C2" s="14"/>
      <c r="E2" s="29" t="s">
        <v>25</v>
      </c>
    </row>
    <row r="3" spans="1:6" x14ac:dyDescent="0.2">
      <c r="A3" s="2" t="s">
        <v>10</v>
      </c>
      <c r="B3" s="14"/>
      <c r="C3" s="33"/>
      <c r="D3" s="34"/>
      <c r="E3" s="29" t="s">
        <v>26</v>
      </c>
    </row>
    <row r="4" spans="1:6" x14ac:dyDescent="0.2">
      <c r="C4" s="19"/>
      <c r="D4" s="20"/>
      <c r="E4" s="30" t="s">
        <v>27</v>
      </c>
    </row>
    <row r="5" spans="1:6" x14ac:dyDescent="0.2">
      <c r="A5" s="20"/>
      <c r="B5" s="14" t="s">
        <v>16</v>
      </c>
      <c r="C5" s="19"/>
      <c r="D5" s="21"/>
      <c r="E5" s="31" t="s">
        <v>28</v>
      </c>
    </row>
    <row r="6" spans="1:6" x14ac:dyDescent="0.2">
      <c r="E6" s="29" t="s">
        <v>29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9" t="s">
        <v>30</v>
      </c>
      <c r="F7" s="18">
        <f>IF(ISBLANK(ZNNbMesures),,SQRT(ZNNbMesures/ZNNbMesAccredite))</f>
        <v>0</v>
      </c>
    </row>
    <row r="8" spans="1:6" x14ac:dyDescent="0.2">
      <c r="E8" s="29" t="s">
        <v>31</v>
      </c>
      <c r="F8" s="18">
        <f>IF(ISBLANK(ZNValGateSecondes),,ZNTempsMesureAccredite/ZNValGateSecondes)</f>
        <v>0</v>
      </c>
    </row>
    <row r="9" spans="1:6" x14ac:dyDescent="0.2">
      <c r="A9" s="11"/>
      <c r="B9" s="13"/>
      <c r="C9" s="13">
        <f>IF(ISBLANK(ZNCoeffMult),B9,(((B9-10000000)/(POWER(10,ZNCoeffMult)*10000000))+1)*ZNValFNominale)</f>
        <v>0</v>
      </c>
      <c r="E9" s="32" t="s">
        <v>32</v>
      </c>
      <c r="F9" s="18">
        <f>IF(ISBLANK(ZNIncertSup),,([1]!Cal_incert_global(ZNIncertAccreditee,ZNCoeffNbMes,ZNCoeffTempsMesure,ZNVariance,ZNIncertResol/ZNFreqMoyReel,ZNIncertSup)*ZNFreqMoyReel))</f>
        <v>0</v>
      </c>
    </row>
    <row r="10" spans="1:6" x14ac:dyDescent="0.2">
      <c r="A10" s="11"/>
      <c r="B10" s="13"/>
      <c r="C10" s="13">
        <f>IF(ISBLANK(ZNCoeffMult),B10,(((B10-10000000)/(POWER(10,ZNCoeffMult)*10000000))+1)*ZNValFNominale)</f>
        <v>0</v>
      </c>
      <c r="D10" s="18">
        <f>C9-C10</f>
        <v>0</v>
      </c>
    </row>
    <row r="13" spans="1:6" x14ac:dyDescent="0.2">
      <c r="B13" s="3" t="s">
        <v>15</v>
      </c>
      <c r="C13" s="13"/>
    </row>
    <row r="15" spans="1:6" x14ac:dyDescent="0.2">
      <c r="B15" s="3" t="s">
        <v>17</v>
      </c>
      <c r="C15" s="5"/>
    </row>
    <row r="17" spans="2:3" x14ac:dyDescent="0.2">
      <c r="B17" s="3" t="s">
        <v>4</v>
      </c>
      <c r="C17" s="5">
        <f>IF(ISBLANK(ZNVariance),,[1]!Cal_ecart_type(ZNVariance))</f>
        <v>0</v>
      </c>
    </row>
    <row r="19" spans="2:3" x14ac:dyDescent="0.2">
      <c r="B19" s="3" t="s">
        <v>5</v>
      </c>
      <c r="C19" s="5">
        <f>IF(ISBLANK(ZNNbMesures),,[1]!Cal_incert_ecart_type(ZNVariance,ZNNbMesures))</f>
        <v>0</v>
      </c>
    </row>
    <row r="21" spans="2:3" x14ac:dyDescent="0.2">
      <c r="B21" s="3" t="s">
        <v>11</v>
      </c>
      <c r="C21" s="12"/>
    </row>
    <row r="23" spans="2:3" x14ac:dyDescent="0.2">
      <c r="B23" s="3" t="s">
        <v>12</v>
      </c>
      <c r="C23" s="12">
        <f>IF(ISBLANK(ZNFreqMoyReel),,[1]!Cal_freq_corrigee(ZNFreqMoyReel,ZNFreqRef))</f>
        <v>0</v>
      </c>
    </row>
    <row r="25" spans="2:3" x14ac:dyDescent="0.2">
      <c r="B25" s="3" t="s">
        <v>13</v>
      </c>
      <c r="C25" s="6"/>
    </row>
    <row r="27" spans="2:3" x14ac:dyDescent="0.2">
      <c r="B27" s="3" t="s">
        <v>6</v>
      </c>
      <c r="C27" s="6"/>
    </row>
    <row r="29" spans="2:3" x14ac:dyDescent="0.2">
      <c r="B29" s="3" t="s">
        <v>7</v>
      </c>
      <c r="C29" s="6">
        <f>IF(ISBLANK(ZNCoeffB),,(IF(ISBLANK(ZNFreqMoyReel),,ZNCoeffB/ZNFreqMoyReel+ZNCoeffA)))</f>
        <v>0</v>
      </c>
    </row>
    <row r="31" spans="2:3" x14ac:dyDescent="0.2">
      <c r="B31" s="3" t="s">
        <v>14</v>
      </c>
      <c r="C31" s="6">
        <f>IF(A2="Stabilité",SQRT(POWER(ZNIncertAccreditee,2)+POWER(ZNIncertEcartType,2)),ZNIncertGlobNONStab)</f>
        <v>0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D7B7-FD0D-4045-AD12-4CA228DE9BA6}">
  <sheetPr codeName="RecapStab">
    <pageSetUpPr fitToPage="1"/>
  </sheetPr>
  <dimension ref="A1:I30"/>
  <sheetViews>
    <sheetView tabSelected="1" workbookViewId="0"/>
  </sheetViews>
  <sheetFormatPr baseColWidth="10" defaultRowHeight="12.75" x14ac:dyDescent="0.2"/>
  <cols>
    <col min="1" max="1" width="11.7109375" style="24" customWidth="1"/>
    <col min="2" max="2" width="20.7109375" style="28" customWidth="1"/>
    <col min="3" max="4" width="20.7109375" style="23" customWidth="1"/>
    <col min="5" max="5" width="17.42578125" style="23" customWidth="1"/>
    <col min="6" max="6" width="18.7109375" style="23" customWidth="1"/>
    <col min="7" max="8" width="20.7109375" style="23" customWidth="1"/>
    <col min="9" max="16384" width="11.42578125" style="24"/>
  </cols>
  <sheetData>
    <row r="1" spans="1:9" x14ac:dyDescent="0.2">
      <c r="A1" s="7" t="s">
        <v>9</v>
      </c>
      <c r="B1" s="17" t="s">
        <v>34</v>
      </c>
      <c r="C1" s="22"/>
      <c r="D1" s="23" t="s">
        <v>35</v>
      </c>
      <c r="H1" s="38"/>
    </row>
    <row r="3" spans="1:9" s="25" customFormat="1" x14ac:dyDescent="0.2">
      <c r="A3" s="25" t="s">
        <v>18</v>
      </c>
      <c r="B3" s="26" t="s">
        <v>33</v>
      </c>
      <c r="C3" s="27" t="s">
        <v>19</v>
      </c>
      <c r="D3" s="27" t="s">
        <v>20</v>
      </c>
      <c r="E3" s="27" t="s">
        <v>24</v>
      </c>
      <c r="F3" s="27" t="s">
        <v>8</v>
      </c>
      <c r="G3" s="27" t="s">
        <v>21</v>
      </c>
      <c r="H3" s="27" t="s">
        <v>22</v>
      </c>
    </row>
    <row r="5" spans="1:9" x14ac:dyDescent="0.2">
      <c r="B5" s="35"/>
      <c r="G5" s="36">
        <f t="shared" ref="G5:G15" si="0">C5+F5</f>
        <v>0</v>
      </c>
      <c r="H5" s="36">
        <f t="shared" ref="H5:H15" si="1">IF(ISBLANK(C5),,IF((C5-F5)&lt;=0,0.000000000001,MAX(0.000000000001,C5-F5)))</f>
        <v>0</v>
      </c>
      <c r="I5" s="24" t="str">
        <f t="shared" ref="I5:I15" si="2">IF(AND(NOT(ISBLANK(C5)),(C5-F5)&lt;=0),"*","")</f>
        <v/>
      </c>
    </row>
    <row r="6" spans="1:9" x14ac:dyDescent="0.2">
      <c r="A6" s="24">
        <f>[0]!ZNValGateSecondes</f>
        <v>0</v>
      </c>
      <c r="B6" s="35">
        <f>[0]!ZNFreqMoyReel</f>
        <v>0</v>
      </c>
      <c r="C6" s="23">
        <f>[0]!ZNEcartType</f>
        <v>0</v>
      </c>
      <c r="D6" s="23">
        <f>[0]!ZNIncertEcartType</f>
        <v>0</v>
      </c>
      <c r="E6" s="23">
        <f>[0]!ZNIncertAccreditee</f>
        <v>0</v>
      </c>
      <c r="F6" s="23">
        <f>[0]!ZNIncertGlobale</f>
        <v>0</v>
      </c>
      <c r="G6" s="36">
        <f t="shared" si="0"/>
        <v>0</v>
      </c>
      <c r="H6" s="36">
        <f t="shared" si="1"/>
        <v>9.9999999999999998E-13</v>
      </c>
      <c r="I6" s="24" t="str">
        <f t="shared" si="2"/>
        <v>*</v>
      </c>
    </row>
    <row r="7" spans="1:9" x14ac:dyDescent="0.2">
      <c r="A7" s="24">
        <f>[0]!ZNValGateSecondes</f>
        <v>0</v>
      </c>
      <c r="B7" s="35">
        <f>[0]!ZNFreqMoyReel</f>
        <v>0</v>
      </c>
      <c r="C7" s="23">
        <f>[0]!ZNEcartType</f>
        <v>0</v>
      </c>
      <c r="D7" s="23">
        <f>[0]!ZNIncertEcartType</f>
        <v>0</v>
      </c>
      <c r="E7" s="23">
        <f>[0]!ZNIncertAccreditee</f>
        <v>0</v>
      </c>
      <c r="F7" s="23">
        <f>[0]!ZNIncertGlobale</f>
        <v>0</v>
      </c>
      <c r="G7" s="36">
        <f t="shared" si="0"/>
        <v>0</v>
      </c>
      <c r="H7" s="36">
        <f t="shared" si="1"/>
        <v>9.9999999999999998E-13</v>
      </c>
      <c r="I7" s="24" t="str">
        <f t="shared" si="2"/>
        <v>*</v>
      </c>
    </row>
    <row r="8" spans="1:9" x14ac:dyDescent="0.2">
      <c r="A8" s="24">
        <f>[0]!ZNValGateSecondes</f>
        <v>0</v>
      </c>
      <c r="B8" s="35">
        <f>[0]!ZNFreqMoyReel</f>
        <v>0</v>
      </c>
      <c r="C8" s="23">
        <f>[0]!ZNEcartType</f>
        <v>0</v>
      </c>
      <c r="D8" s="23">
        <f>[0]!ZNIncertEcartType</f>
        <v>0</v>
      </c>
      <c r="E8" s="23">
        <f>[0]!ZNIncertAccreditee</f>
        <v>0</v>
      </c>
      <c r="F8" s="23">
        <f>[0]!ZNIncertGlobale</f>
        <v>0</v>
      </c>
      <c r="G8" s="36">
        <f t="shared" si="0"/>
        <v>0</v>
      </c>
      <c r="H8" s="36">
        <f t="shared" si="1"/>
        <v>9.9999999999999998E-13</v>
      </c>
      <c r="I8" s="24" t="str">
        <f t="shared" si="2"/>
        <v>*</v>
      </c>
    </row>
    <row r="9" spans="1:9" x14ac:dyDescent="0.2">
      <c r="A9" s="24">
        <f>[0]!ZNValGateSecondes</f>
        <v>0</v>
      </c>
      <c r="B9" s="35">
        <f>[0]!ZNFreqMoyReel</f>
        <v>0</v>
      </c>
      <c r="C9" s="23">
        <f>[0]!ZNEcartType</f>
        <v>0</v>
      </c>
      <c r="D9" s="23">
        <f>[0]!ZNIncertEcartType</f>
        <v>0</v>
      </c>
      <c r="E9" s="23">
        <f>[0]!ZNIncertAccreditee</f>
        <v>0</v>
      </c>
      <c r="F9" s="23">
        <f>[0]!ZNIncertGlobale</f>
        <v>0</v>
      </c>
      <c r="G9" s="36">
        <f t="shared" si="0"/>
        <v>0</v>
      </c>
      <c r="H9" s="36">
        <f t="shared" si="1"/>
        <v>9.9999999999999998E-13</v>
      </c>
      <c r="I9" s="24" t="str">
        <f t="shared" si="2"/>
        <v>*</v>
      </c>
    </row>
    <row r="10" spans="1:9" x14ac:dyDescent="0.2">
      <c r="A10" s="24">
        <f>[0]!ZNValGateSecondes</f>
        <v>0</v>
      </c>
      <c r="B10" s="35">
        <f>[0]!ZNFreqMoyReel</f>
        <v>0</v>
      </c>
      <c r="C10" s="23">
        <f>[0]!ZNEcartType</f>
        <v>0</v>
      </c>
      <c r="D10" s="23">
        <f>[0]!ZNIncertEcartType</f>
        <v>0</v>
      </c>
      <c r="E10" s="23">
        <f>[0]!ZNIncertAccreditee</f>
        <v>0</v>
      </c>
      <c r="F10" s="23">
        <f>[0]!ZNIncertGlobale</f>
        <v>0</v>
      </c>
      <c r="G10" s="36">
        <f t="shared" si="0"/>
        <v>0</v>
      </c>
      <c r="H10" s="36">
        <f t="shared" si="1"/>
        <v>9.9999999999999998E-13</v>
      </c>
      <c r="I10" s="24" t="str">
        <f t="shared" si="2"/>
        <v>*</v>
      </c>
    </row>
    <row r="11" spans="1:9" x14ac:dyDescent="0.2">
      <c r="A11" s="24">
        <f>[0]!ZNValGateSecondes</f>
        <v>0</v>
      </c>
      <c r="B11" s="35">
        <f>[0]!ZNFreqMoyReel</f>
        <v>0</v>
      </c>
      <c r="C11" s="23">
        <f>[0]!ZNEcartType</f>
        <v>0</v>
      </c>
      <c r="D11" s="23">
        <f>[0]!ZNIncertEcartType</f>
        <v>0</v>
      </c>
      <c r="E11" s="23">
        <f>[0]!ZNIncertAccreditee</f>
        <v>0</v>
      </c>
      <c r="F11" s="23">
        <f>[0]!ZNIncertGlobale</f>
        <v>0</v>
      </c>
      <c r="G11" s="36">
        <f t="shared" si="0"/>
        <v>0</v>
      </c>
      <c r="H11" s="36">
        <f t="shared" si="1"/>
        <v>9.9999999999999998E-13</v>
      </c>
      <c r="I11" s="24" t="str">
        <f t="shared" si="2"/>
        <v>*</v>
      </c>
    </row>
    <row r="12" spans="1:9" x14ac:dyDescent="0.2">
      <c r="A12" s="24">
        <f>[0]!ZNValGateSecondes</f>
        <v>0</v>
      </c>
      <c r="B12" s="35">
        <f>[0]!ZNFreqMoyReel</f>
        <v>0</v>
      </c>
      <c r="C12" s="23">
        <f>[0]!ZNEcartType</f>
        <v>0</v>
      </c>
      <c r="D12" s="23">
        <f>[0]!ZNIncertEcartType</f>
        <v>0</v>
      </c>
      <c r="E12" s="23">
        <f>[0]!ZNIncertAccreditee</f>
        <v>0</v>
      </c>
      <c r="F12" s="23">
        <f>[0]!ZNIncertGlobale</f>
        <v>0</v>
      </c>
      <c r="G12" s="36">
        <f t="shared" si="0"/>
        <v>0</v>
      </c>
      <c r="H12" s="36">
        <f t="shared" si="1"/>
        <v>9.9999999999999998E-13</v>
      </c>
      <c r="I12" s="24" t="str">
        <f t="shared" si="2"/>
        <v>*</v>
      </c>
    </row>
    <row r="13" spans="1:9" x14ac:dyDescent="0.2">
      <c r="A13" s="24">
        <f>[0]!ZNValGateSecondes</f>
        <v>0</v>
      </c>
      <c r="B13" s="35">
        <f>[0]!ZNFreqMoyReel</f>
        <v>0</v>
      </c>
      <c r="C13" s="23">
        <f>[0]!ZNEcartType</f>
        <v>0</v>
      </c>
      <c r="D13" s="23">
        <f>[0]!ZNIncertEcartType</f>
        <v>0</v>
      </c>
      <c r="E13" s="23">
        <f>[0]!ZNIncertAccreditee</f>
        <v>0</v>
      </c>
      <c r="F13" s="23">
        <f>[0]!ZNIncertGlobale</f>
        <v>0</v>
      </c>
      <c r="G13" s="36">
        <f t="shared" si="0"/>
        <v>0</v>
      </c>
      <c r="H13" s="36">
        <f t="shared" si="1"/>
        <v>9.9999999999999998E-13</v>
      </c>
      <c r="I13" s="24" t="str">
        <f t="shared" si="2"/>
        <v>*</v>
      </c>
    </row>
    <row r="14" spans="1:9" x14ac:dyDescent="0.2">
      <c r="A14" s="24">
        <f>[0]!ZNValGateSecondes</f>
        <v>0</v>
      </c>
      <c r="B14" s="35">
        <f>[0]!ZNFreqMoyReel</f>
        <v>0</v>
      </c>
      <c r="C14" s="23">
        <f>[0]!ZNEcartType</f>
        <v>0</v>
      </c>
      <c r="D14" s="23">
        <f>[0]!ZNIncertEcartType</f>
        <v>0</v>
      </c>
      <c r="E14" s="23">
        <f>[0]!ZNIncertAccreditee</f>
        <v>0</v>
      </c>
      <c r="F14" s="23">
        <f>[0]!ZNIncertGlobale</f>
        <v>0</v>
      </c>
      <c r="G14" s="36">
        <f t="shared" si="0"/>
        <v>0</v>
      </c>
      <c r="H14" s="36">
        <f t="shared" si="1"/>
        <v>9.9999999999999998E-13</v>
      </c>
      <c r="I14" s="24" t="str">
        <f t="shared" si="2"/>
        <v>*</v>
      </c>
    </row>
    <row r="15" spans="1:9" x14ac:dyDescent="0.2">
      <c r="A15" s="24">
        <f>[0]!ZNValGateSecondes</f>
        <v>0</v>
      </c>
      <c r="B15" s="35">
        <f>[0]!ZNFreqMoyReel</f>
        <v>0</v>
      </c>
      <c r="C15" s="23">
        <f>[0]!ZNEcartType</f>
        <v>0</v>
      </c>
      <c r="D15" s="23">
        <f>[0]!ZNIncertEcartType</f>
        <v>0</v>
      </c>
      <c r="E15" s="23">
        <f>[0]!ZNIncertAccreditee</f>
        <v>0</v>
      </c>
      <c r="F15" s="23">
        <f>[0]!ZNIncertGlobale</f>
        <v>0</v>
      </c>
      <c r="G15" s="36">
        <f t="shared" si="0"/>
        <v>0</v>
      </c>
      <c r="H15" s="36">
        <f t="shared" si="1"/>
        <v>9.9999999999999998E-13</v>
      </c>
      <c r="I15" s="24" t="str">
        <f t="shared" si="2"/>
        <v>*</v>
      </c>
    </row>
    <row r="19" spans="1:9" x14ac:dyDescent="0.2">
      <c r="G19" s="23">
        <f>LARGE(G$6:G$15,1)</f>
        <v>0</v>
      </c>
      <c r="H19" s="23">
        <f>SMALL(H$6:H$15,1)</f>
        <v>9.9999999999999998E-13</v>
      </c>
    </row>
    <row r="29" spans="1:9" s="39" customFormat="1" x14ac:dyDescent="0.2">
      <c r="A29" s="39">
        <v>0.01</v>
      </c>
      <c r="B29" s="40">
        <v>9999999.9998016991</v>
      </c>
      <c r="C29" s="37">
        <v>1.9217466269109408E-10</v>
      </c>
      <c r="D29" s="37">
        <v>7.0172265157905791E-11</v>
      </c>
      <c r="E29" s="37">
        <v>3E-10</v>
      </c>
      <c r="F29" s="37">
        <v>3.0809762543289982E-10</v>
      </c>
      <c r="G29" s="37">
        <v>5.0027228812399391E-10</v>
      </c>
      <c r="H29" s="37">
        <v>9.9999999999999998E-13</v>
      </c>
      <c r="I29" s="39" t="s">
        <v>23</v>
      </c>
    </row>
    <row r="30" spans="1:9" s="39" customFormat="1" x14ac:dyDescent="0.2">
      <c r="A30" s="39">
        <v>100</v>
      </c>
      <c r="B30" s="40">
        <v>9999999.9999401346</v>
      </c>
      <c r="C30" s="37">
        <v>2.654895714482335E-12</v>
      </c>
      <c r="D30" s="37">
        <v>9.6943084709718001E-13</v>
      </c>
      <c r="E30" s="37">
        <v>7.9999999999999998E-12</v>
      </c>
      <c r="F30" s="37">
        <v>8.058523200146758E-12</v>
      </c>
      <c r="G30" s="37">
        <v>1.0713418914629093E-11</v>
      </c>
      <c r="H30" s="37">
        <v>9.9999999999999998E-13</v>
      </c>
      <c r="I30" s="39" t="s">
        <v>23</v>
      </c>
    </row>
  </sheetData>
  <sheetProtection password="D2A3" sheet="1" objects="1" scenarios="1"/>
  <phoneticPr fontId="0" type="noConversion"/>
  <pageMargins left="0.78740157499999996" right="0.78740157499999996" top="0.984251969" bottom="0.984251969" header="0.4921259845" footer="0.4921259845"/>
  <pageSetup paperSize="9" scale="80" orientation="landscape" r:id="rId1"/>
  <headerFooter alignWithMargins="0">
    <oddHeader>&amp;L&amp;Z&amp;F - &amp;A</oddHeader>
    <oddFooter>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39</vt:i4>
      </vt:variant>
    </vt:vector>
  </HeadingPairs>
  <TitlesOfParts>
    <vt:vector size="41" baseType="lpstr">
      <vt:lpstr>ModFeuille</vt:lpstr>
      <vt:lpstr>Récap.</vt:lpstr>
      <vt:lpstr>ZNCoeffA</vt:lpstr>
      <vt:lpstr>ZNCoeffB</vt:lpstr>
      <vt:lpstr>ZNCoeffMult</vt:lpstr>
      <vt:lpstr>ZNCoeffNbMes</vt:lpstr>
      <vt:lpstr>ZNCoeffTempsMesure</vt:lpstr>
      <vt:lpstr>ZNDate</vt:lpstr>
      <vt:lpstr>ZNDateRecapStab</vt:lpstr>
      <vt:lpstr>ZNEcartType</vt:lpstr>
      <vt:lpstr>ZNFNominale</vt:lpstr>
      <vt:lpstr>ZNFreqCorr</vt:lpstr>
      <vt:lpstr>ZNFreqMoyReel</vt:lpstr>
      <vt:lpstr>ZNFreqRef</vt:lpstr>
      <vt:lpstr>ZNFreqUtilise</vt:lpstr>
      <vt:lpstr>ZNGate</vt:lpstr>
      <vt:lpstr>ZNGrandeValeur</vt:lpstr>
      <vt:lpstr>ZNIncertAccreditee</vt:lpstr>
      <vt:lpstr>ZNIncertEcartType</vt:lpstr>
      <vt:lpstr>ZNIncertGlobale</vt:lpstr>
      <vt:lpstr>ZNIncertGlobNONStab</vt:lpstr>
      <vt:lpstr>ZNIncertResol</vt:lpstr>
      <vt:lpstr>ZNIncertSup</vt:lpstr>
      <vt:lpstr>ZNLibGate</vt:lpstr>
      <vt:lpstr>ZNMesure1</vt:lpstr>
      <vt:lpstr>ZNMesure2</vt:lpstr>
      <vt:lpstr>ZNModeMesure</vt:lpstr>
      <vt:lpstr>ZNNbMesAccredite</vt:lpstr>
      <vt:lpstr>ZNNbMesures</vt:lpstr>
      <vt:lpstr>ZNNoFiche</vt:lpstr>
      <vt:lpstr>ZNNoFicheRecapStab</vt:lpstr>
      <vt:lpstr>ZNPetiteValeur</vt:lpstr>
      <vt:lpstr>ZNPointInsertion</vt:lpstr>
      <vt:lpstr>ZNRecapS_DebZone</vt:lpstr>
      <vt:lpstr>ZNRecapS_Ligne0</vt:lpstr>
      <vt:lpstr>ZNRubidium</vt:lpstr>
      <vt:lpstr>ZNTempsMesureAccredite</vt:lpstr>
      <vt:lpstr>ZNTypeMesure</vt:lpstr>
      <vt:lpstr>ZNValFNominale</vt:lpstr>
      <vt:lpstr>ZNValGateSecondes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</dc:creator>
  <cp:lastModifiedBy>THE G</cp:lastModifiedBy>
  <cp:lastPrinted>2008-04-01T06:20:02Z</cp:lastPrinted>
  <dcterms:created xsi:type="dcterms:W3CDTF">2008-04-01T05:57:58Z</dcterms:created>
  <dcterms:modified xsi:type="dcterms:W3CDTF">2026-04-28T09:13:01Z</dcterms:modified>
</cp:coreProperties>
</file>